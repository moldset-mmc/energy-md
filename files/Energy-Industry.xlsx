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d220d0cb3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тарт" sheetId="1" r:id="Ra690ee71c6894d9d"/>
    <x:sheet xmlns:r="http://schemas.openxmlformats.org/officeDocument/2006/relationships" name="Компании" sheetId="2" r:id="R72a67177ecb04ee0"/>
    <x:sheet xmlns:r="http://schemas.openxmlformats.org/officeDocument/2006/relationships" name="Контакты" sheetId="3" r:id="Rd43d7acf24e04399"/>
    <x:sheet xmlns:r="http://schemas.openxmlformats.org/officeDocument/2006/relationships" name="Обороты" sheetId="4" r:id="R1516f5f7879b4e0d"/>
    <x:sheet xmlns:r="http://schemas.openxmlformats.org/officeDocument/2006/relationships" name="Первая волна" sheetId="5" r:id="Rd5acfab4cdb2442e"/>
    <x:sheet xmlns:r="http://schemas.openxmlformats.org/officeDocument/2006/relationships" name="Проверить" sheetId="6" r:id="R1f3fcd19ea9048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&quot; MDL&quot;"/>
    <x:numFmt numFmtId="201" formatCode="@"/>
    <x:numFmt numFmtId="202" formatCode="0.000%"/>
    <x:numFmt numFmtId="203" formatCode="0"/>
  </x:numFmts>
  <x:fonts count="10">
    <x:font>
      <x:sz val="11"/>
      <x:name val="Carlito"/>
    </x:font>
    <x:font>
      <x:sz val="11"/>
      <x:color rgb="FF22354D"/>
      <x:name val="Arial"/>
    </x:font>
    <x:font>
      <x:b/>
      <x:sz val="18"/>
      <x:color rgb="FF203C59"/>
      <x:name val="Arial"/>
    </x:font>
    <x:font>
      <x:sz val="10"/>
      <x:color rgb="FF52657A"/>
      <x:name val="Arial"/>
    </x:font>
    <x:font>
      <x:b/>
      <x:sz val="13"/>
      <x:color rgb="FF145D9E"/>
      <x:name val="Arial"/>
    </x:font>
    <x:font>
      <x:b/>
      <x:sz val="13"/>
      <x:color rgb="FF203C59"/>
      <x:name val="Arial"/>
    </x:font>
    <x:font>
      <x:sz val="12"/>
      <x:color rgb="FF22354D"/>
      <x:name val="Arial"/>
    </x:font>
    <x:font>
      <x:b/>
      <x:sz val="11"/>
      <x:color rgb="FFFFFFFF"/>
      <x:name val="Arial"/>
    </x:font>
    <x:font>
      <x:b/>
      <x:sz val="11"/>
      <x:color rgb="FF22354D"/>
      <x:name val="Arial"/>
    </x:font>
    <x:font>
      <x:sz val="10"/>
      <x:color rgb="FF176B9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DAECFA"/>
      </x:patternFill>
    </x:fill>
    <x:fill>
      <x:patternFill patternType="solid">
        <x:fgColor rgb="FFF0F5F9"/>
      </x:patternFill>
    </x:fill>
    <x:fill>
      <x:patternFill patternType="solid">
        <x:fgColor rgb="FFEAF2F8"/>
      </x:patternFill>
    </x:fill>
    <x:fill>
      <x:patternFill patternType="solid">
        <x:fgColor rgb="FF203C59"/>
      </x:patternFill>
    </x:fill>
    <x:fill>
      <x:patternFill patternType="solid">
        <x:fgColor rgb="FFFFF5E3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201" fontId="1" fillId="7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2" fontId="1" fillId="7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3" fontId="1" fillId="7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horizontal="right" vertical="center" wrapText="1"/>
    </x:xf>
    <x:xf numFmtId="0" fontId="1" fillId="7" borderId="0" xfId="0" applyNumberFormat="1" applyFont="1" applyFill="1" applyBorder="1" applyAlignment="1">
      <x:alignment horizontal="right" vertical="center" wrapText="1"/>
    </x:xf>
    <x:xf numFmtId="202" fontId="1" fillId="7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3">
    <x:dxf>
      <x:fill>
        <x:patternFill patternType="solid">
          <x:bgColor rgb="FFDDEFE3"/>
        </x:patternFill>
      </x:fill>
    </x:dxf>
    <x:dxf>
      <x:fill>
        <x:patternFill patternType="solid">
          <x:bgColor rgb="FFFFF0CE"/>
        </x:patternFill>
      </x:fill>
    </x:dxf>
    <x:dxf>
      <x:fill>
        <x:patternFill patternType="solid">
          <x:bgColor rgb="FFE8E5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648ee534d743fc" /><Relationship Type="http://schemas.openxmlformats.org/officeDocument/2006/relationships/theme" Target="/xl/theme/theme1.xml" Id="Raa902998252945ad" /><Relationship Type="http://schemas.openxmlformats.org/officeDocument/2006/relationships/sharedStrings" Target="/xl/sharedStrings.xml" Id="R8574e57c606542f8" /><Relationship Type="http://schemas.openxmlformats.org/officeDocument/2006/relationships/worksheet" Target="/xl/worksheets/sheet1.xml" Id="Ra690ee71c6894d9d" /><Relationship Type="http://schemas.openxmlformats.org/officeDocument/2006/relationships/worksheet" Target="/xl/worksheets/sheet2.xml" Id="R72a67177ecb04ee0" /><Relationship Type="http://schemas.openxmlformats.org/officeDocument/2006/relationships/worksheet" Target="/xl/worksheets/sheet3.xml" Id="Rd43d7acf24e04399" /><Relationship Type="http://schemas.openxmlformats.org/officeDocument/2006/relationships/worksheet" Target="/xl/worksheets/sheet4.xml" Id="R1516f5f7879b4e0d" /><Relationship Type="http://schemas.openxmlformats.org/officeDocument/2006/relationships/worksheet" Target="/xl/worksheets/sheet5.xml" Id="Rd5acfab4cdb2442e" /><Relationship Type="http://schemas.openxmlformats.org/officeDocument/2006/relationships/worksheet" Target="/xl/worksheets/sheet6.xml" Id="R1f3fcd19ea904850" /></Relationships>
</file>

<file path=xl/tables/table1.xml><?xml version="1.0" encoding="utf-8"?>
<x:table xmlns:x="http://schemas.openxmlformats.org/spreadsheetml/2006/main" id="1" name="EnergyCompanies" displayName="EnergyCompanies" ref="A6:J86" headerRowCount="1" totalsRowCount="0" totalsRowShown="0">
  <x:autoFilter ref="A6:J86"/>
  <x:tableColumns count="10">
    <x:tableColumn id="1" name="ID"/>
    <x:tableColumn id="2" name="Предприятие / группа"/>
    <x:tableColumn id="3" name="Очередь"/>
    <x:tableColumn id="4" name="Направление"/>
    <x:tableColumn id="5" name="Местонахождение / тип адреса"/>
    <x:tableColumn id="6" name="ОПУБЛИКОВАНО: факты и масштаб"/>
    <x:tableColumn id="7" name="ВЫВОД: основание для отбора"/>
    <x:tableColumn id="8" name="НЕ ПРОВЕРЕНО: вопрос квалификации"/>
    <x:tableColumn id="9" name="Источники деятельности / масштаба"/>
    <x:tableColumn id="10" name="Измен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ergyContacts" displayName="EnergyContacts" ref="A6:G86" headerRowCount="1" totalsRowCount="0" totalsRowShown="0">
  <x:autoFilter ref="A6:G86"/>
  <x:tableColumns count="7">
    <x:tableColumn id="1" name="ID"/>
    <x:tableColumn id="2" name="Предприятие / группа"/>
    <x:tableColumn id="3" name="Телефон"/>
    <x:tableColumn id="4" name="Email / форма"/>
    <x:tableColumn id="5" name="Назначение и качество контакта"/>
    <x:tableColumn id="6" name="Кого запросить"/>
    <x:tableColumn id="7" name="Источник контакт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ergyRevenue" displayName="EnergyRevenue" ref="A6:J31" headerRowCount="1" totalsRowCount="0" totalsRowShown="0">
  <x:autoFilter ref="A6:J31"/>
  <x:tableColumns count="10">
    <x:tableColumn id="1" name="ID"/>
    <x:tableColumn id="2" name="Предприятие"/>
    <x:tableColumn id="3" name="Год"/>
    <x:tableColumn id="4" name="Выручка, MDL"/>
    <x:tableColumn id="5" name="Сотрудников"/>
    <x:tableColumn id="6" name="Годовой порог / выручка"/>
    <x:tableColumn id="7" name="IDNO"/>
    <x:tableColumn id="8" name="Тип финансового источника"/>
    <x:tableColumn id="9" name="Ограничение / охват"/>
    <x:tableColumn id="10" name="Источник финансов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nergyFirstWave" displayName="EnergyFirstWave" ref="A6:I26" headerRowCount="1" totalsRowCount="0" totalsRowShown="0">
  <x:autoFilter ref="A6:I26"/>
  <x:tableColumns count="9">
    <x:tableColumn id="1" name="ID"/>
    <x:tableColumn id="2" name="Предприятие / группа"/>
    <x:tableColumn id="3" name="Направление"/>
    <x:tableColumn id="4" name="Доказательная база"/>
    <x:tableColumn id="5" name="Телефон"/>
    <x:tableColumn id="6" name="Email / форма"/>
    <x:tableColumn id="7" name="Назначение контакта"/>
    <x:tableColumn id="8" name="Первый вопрос"/>
    <x:tableColumn id="9" name="Источник деятельности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ergyReserve" displayName="EnergyReserve" ref="A6:G15" headerRowCount="1" totalsRowCount="0" totalsRowShown="0">
  <x:autoFilter ref="A6:G15"/>
  <x:tableColumns count="7">
    <x:tableColumn id="1" name="ID"/>
    <x:tableColumn id="2" name="Компания"/>
    <x:tableColumn id="3" name="Направление"/>
    <x:tableColumn id="4" name="Что опубликовано"/>
    <x:tableColumn id="5" name="Причина отложить"/>
    <x:tableColumn id="6" name="Следующее действие"/>
    <x:tableColumn id="7" name="Источни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6e978642624a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0b155bfadc41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9bd8c34e4841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26de783ad84b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b1644d6f8f4815" /></Relationships>
</file>

<file path=xl/worksheets/sheet1.xml><?xml version="1.0" encoding="utf-8"?>
<x:worksheet xmlns:x="http://schemas.openxmlformats.org/spreadsheetml/2006/main">
  <x:sheetPr>
    <x:tabColor rgb="FF203C59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5" hidden="0" customWidth="1"/>
    <x:col min="2" max="2" width="19" hidden="0" customWidth="1"/>
    <x:col min="3" max="3" width="5" hidden="0" customWidth="1"/>
    <x:col min="4" max="4" width="42" hidden="0" customWidth="1"/>
    <x:col min="5" max="5" width="35" hidden="0" customWidth="1"/>
    <x:col min="6" max="6" width="25" hidden="0" customWidth="1"/>
  </x:cols>
  <x:sheetData>
    <x:row r="1">
      <x:c r="A1" s="2"/>
      <x:c r="B1" s="2"/>
      <x:c r="C1" s="2"/>
      <x:c r="D1" s="2"/>
      <x:c r="E1" s="2"/>
      <x:c r="F1" s="2"/>
    </x:row>
    <x:row r="2" ht="34" customHeight="1">
      <x:c r="A2" s="3" t="str">
        <x:v>Потребители электроэнергии · Молдова</x:v>
      </x:c>
      <x:c r="B2" s="2"/>
      <x:c r="C2" s="2"/>
      <x:c r="D2" s="2"/>
      <x:c r="E2" s="2"/>
      <x:c r="F2" s="2"/>
    </x:row>
    <x:row r="3" ht="28" customHeight="1">
      <x:c r="A3" s="4" t="str">
        <x:v>Отбор предприятий и организаций · обновлено 17.10.2026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0" customHeight="1">
      <x:c r="A5" s="2" t="str">
        <x:v>Нижний порог, MDL / месяц</x:v>
      </x:c>
      <x:c r="B5" s="7" t="n">
        <x:v>30000</x:v>
      </x:c>
      <x:c r="C5" s="2"/>
      <x:c r="D5" s="11" t="str">
        <x:v>КРИТЕРИЙ
От 30 000 лей в месяц за электроэнергию. Верхней границы нет.
Производство, оборот, штат, оборудование, холод и смены служат основанием для включения в поиск.
Расходы выше порога для этих компаний пока не установлены. Это база кандидатов для квалификации.</x:v>
      </x:c>
      <x:c r="E5" s="11"/>
      <x:c r="F5" s="11"/>
    </x:row>
    <x:row r="6">
      <x:c r="A6" s="2" t="str">
        <x:v>Годовой эквивалент, MDL</x:v>
      </x:c>
      <x:c r="B6" s="5" t="n">
        <x:f>B5*12</x:f>
        <x:v>360000</x:v>
      </x:c>
      <x:c r="C6" s="2"/>
      <x:c r="D6" s="11"/>
      <x:c r="E6" s="11"/>
      <x:c r="F6" s="11"/>
    </x:row>
    <x:row r="7">
      <x:c r="A7" s="2"/>
      <x:c r="B7" s="2"/>
      <x:c r="C7" s="2"/>
      <x:c r="D7" s="11"/>
      <x:c r="E7" s="11"/>
      <x:c r="F7" s="11"/>
    </x:row>
    <x:row r="8" ht="28" customHeight="1">
      <x:c r="A8" s="2" t="str">
        <x:v>Карточек компаний / групп</x:v>
      </x:c>
      <x:c r="B8" s="8" t="n">
        <x:f>COUNTA('Компании'!B7:B86)</x:f>
        <x:v>80</x:v>
      </x:c>
      <x:c r="C8" s="2"/>
      <x:c r="D8" s="11"/>
      <x:c r="E8" s="11"/>
      <x:c r="F8" s="11"/>
    </x:row>
    <x:row r="9" ht="28" customHeight="1">
      <x:c r="A9" s="2" t="str">
        <x:v>Добавлено к прежним 36</x:v>
      </x:c>
      <x:c r="B9" s="8" t="n">
        <x:f>B8-36</x:f>
        <x:v>44</x:v>
      </x:c>
      <x:c r="C9" s="2"/>
      <x:c r="D9" s="11"/>
      <x:c r="E9" s="11"/>
      <x:c r="F9" s="11"/>
    </x:row>
    <x:row r="10" ht="28" customHeight="1">
      <x:c r="A10" s="2" t="str">
        <x:v>Компаний с выручкой</x:v>
      </x:c>
      <x:c r="B10" s="8" t="n">
        <x:f>COUNTA('Обороты'!B7:B31)</x:f>
        <x:v>25</x:v>
      </x:c>
      <x:c r="C10" s="2"/>
      <x:c r="D10" s="11"/>
      <x:c r="E10" s="11"/>
      <x:c r="F10" s="11"/>
    </x:row>
    <x:row r="11" ht="28" customHeight="1">
      <x:c r="A11" s="2" t="str">
        <x:v>Отраслевых направлений</x:v>
      </x:c>
      <x:c r="B11" s="8" t="n">
        <x:f>COUNTA(A25:A50)</x:f>
        <x:v>26</x:v>
      </x:c>
      <x:c r="C11" s="2"/>
      <x:c r="D11" s="11"/>
      <x:c r="E11" s="11"/>
      <x:c r="F11" s="11"/>
    </x:row>
    <x:row r="12" ht="28" customHeight="1">
      <x:c r="A12" s="2" t="str">
        <x:v>A · приоритетная квалификация</x:v>
      </x:c>
      <x:c r="B12" s="8" t="n">
        <x:f>COUNTIF(Компании!C7:C86,"A")</x:f>
        <x:v>46</x:v>
      </x:c>
      <x:c r="C12" s="2"/>
      <x:c r="D12" s="11"/>
      <x:c r="E12" s="11"/>
      <x:c r="F12" s="11"/>
    </x:row>
    <x:row r="13" ht="28" customHeight="1">
      <x:c r="A13" s="2" t="str">
        <x:v>B · уточнить масштаб / данные</x:v>
      </x:c>
      <x:c r="B13" s="8" t="n">
        <x:f>COUNTIF(Компании!C7:C86,"B")</x:f>
        <x:v>21</x:v>
      </x:c>
      <x:c r="C13" s="2"/>
      <x:c r="D13" s="11"/>
      <x:c r="E13" s="11"/>
      <x:c r="F13" s="11"/>
    </x:row>
    <x:row r="14" ht="28" customHeight="1">
      <x:c r="A14" s="2" t="str">
        <x:v>S · отдельный подход к группе</x:v>
      </x:c>
      <x:c r="B14" s="8" t="n">
        <x:f>COUNTIF(Компании!C7:C86,"S")</x:f>
        <x:v>13</x:v>
      </x:c>
      <x:c r="C14" s="2"/>
      <x:c r="D14" s="11"/>
      <x:c r="E14" s="11"/>
      <x:c r="F14" s="11"/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 ht="24" customHeight="1">
      <x:c r="A17" s="13" t="str">
        <x:v>КАК ЧИТАТЬ БАЗУ
ПОДТВЕРЖДЕНО — источник публикует указанные сведения; это не аудит предприятия. ВЫВОД — оценка основания для отбора. НЕ ПРОВЕРЕНО — размер счёта, поставщик и условия перехода.
В «Оборотах» доля 360 000 MDL / годовая выручка — расчёт необходимого уровня расходов для порога, а не фактическая доля электроэнергии.</x:v>
      </x:c>
      <x:c r="B17" s="13"/>
      <x:c r="C17" s="13"/>
      <x:c r="D17" s="13"/>
      <x:c r="E17" s="13"/>
      <x:c r="F17" s="13"/>
    </x:row>
    <x:row r="18" ht="24" customHeight="1">
      <x:c r="A18" s="13"/>
      <x:c r="B18" s="13"/>
      <x:c r="C18" s="13"/>
      <x:c r="D18" s="13"/>
      <x:c r="E18" s="13"/>
      <x:c r="F18" s="13"/>
    </x:row>
    <x:row r="19" ht="24" customHeight="1">
      <x:c r="A19" s="13"/>
      <x:c r="B19" s="13"/>
      <x:c r="C19" s="13"/>
      <x:c r="D19" s="13"/>
      <x:c r="E19" s="13"/>
      <x:c r="F19" s="13"/>
    </x:row>
    <x:row r="20" ht="24" customHeight="1">
      <x:c r="A20" s="13"/>
      <x:c r="B20" s="13"/>
      <x:c r="C20" s="13"/>
      <x:c r="D20" s="13"/>
      <x:c r="E20" s="13"/>
      <x:c r="F20" s="13"/>
    </x:row>
    <x:row r="21">
      <x:c r="A21" s="2"/>
      <x:c r="B21" s="2"/>
      <x:c r="C21" s="2"/>
      <x:c r="D21" s="2"/>
      <x:c r="E21" s="2"/>
      <x:c r="F21" s="2"/>
    </x:row>
    <x:row r="22" ht="35" customHeight="1">
      <x:c r="A22" s="14" t="str">
        <x:v>Контакты не проверялись звонком. Письма не отправлялись. Для групп необходимо определить юрлицо и объекты договора.</x:v>
      </x:c>
      <x:c r="B22" s="14"/>
      <x:c r="C22" s="14"/>
      <x:c r="D22" s="14"/>
      <x:c r="E22" s="14"/>
      <x:c r="F22" s="14"/>
    </x:row>
    <x:row r="23">
      <x:c r="A23" s="2"/>
      <x:c r="B23" s="2"/>
      <x:c r="C23" s="2"/>
      <x:c r="D23" s="2"/>
      <x:c r="E23" s="2"/>
      <x:c r="F23" s="2"/>
    </x:row>
    <x:row r="24" ht="28" customHeight="1">
      <x:c r="A24" s="16" t="str">
        <x:v>Направление</x:v>
      </x:c>
      <x:c r="B24" s="16" t="str">
        <x:v>Карточек</x:v>
      </x:c>
      <x:c r="C24" s="2"/>
      <x:c r="D24" s="2"/>
      <x:c r="E24" s="2"/>
      <x:c r="F24" s="2"/>
    </x:row>
    <x:row r="25" ht="26" customHeight="1">
      <x:c r="A25" s="17" t="str">
        <x:v>Мебель и дерево</x:v>
      </x:c>
      <x:c r="B25" s="17" t="n">
        <x:v>5</x:v>
      </x:c>
      <x:c r="C25" s="2"/>
      <x:c r="D25" s="18" t="str">
        <x:v>ЛИСТЫ
Компании — основания отбора и следующие вопросы.
Контакты — каналы, их назначение и источники.
Обороты — 25 финансовых записей и расчёт порога.
Первая волна — 20 отобранных кандидатов.
Проверить — 9 отложенных или спорных записей.
44 добавленные карточки включают Lapmol и Lactis, ранее находившиеся в резерве.</x:v>
      </x:c>
      <x:c r="E25" s="18"/>
      <x:c r="F25" s="18"/>
    </x:row>
    <x:row r="26" ht="26" customHeight="1">
      <x:c r="A26" s="17" t="str">
        <x:v>Металл и сварка</x:v>
      </x:c>
      <x:c r="B26" s="17" t="n">
        <x:v>6</x:v>
      </x:c>
      <x:c r="C26" s="2"/>
      <x:c r="D26" s="18"/>
      <x:c r="E26" s="18"/>
      <x:c r="F26" s="18"/>
    </x:row>
    <x:row r="27" ht="26" customHeight="1">
      <x:c r="A27" s="17" t="str">
        <x:v>Пластик и упаковка</x:v>
      </x:c>
      <x:c r="B27" s="17" t="n">
        <x:v>8</x:v>
      </x:c>
      <x:c r="C27" s="2"/>
      <x:c r="D27" s="18"/>
      <x:c r="E27" s="18"/>
      <x:c r="F27" s="18"/>
    </x:row>
    <x:row r="28" ht="26" customHeight="1">
      <x:c r="A28" s="17" t="str">
        <x:v>Холод и заморозка</x:v>
      </x:c>
      <x:c r="B28" s="17" t="n">
        <x:v>3</x:v>
      </x:c>
      <x:c r="C28" s="2"/>
      <x:c r="D28" s="18"/>
      <x:c r="E28" s="18"/>
      <x:c r="F28" s="18"/>
    </x:row>
    <x:row r="29" ht="26" customHeight="1">
      <x:c r="A29" s="17" t="str">
        <x:v>Мясо и птица</x:v>
      </x:c>
      <x:c r="B29" s="17" t="n">
        <x:v>4</x:v>
      </x:c>
      <x:c r="C29" s="2"/>
      <x:c r="D29" s="18"/>
      <x:c r="E29" s="18"/>
      <x:c r="F29" s="18"/>
    </x:row>
    <x:row r="30" ht="26" customHeight="1">
      <x:c r="A30" s="17" t="str">
        <x:v>Переработка фруктов и овощей</x:v>
      </x:c>
      <x:c r="B30" s="17" t="n">
        <x:v>2</x:v>
      </x:c>
      <x:c r="C30" s="2"/>
      <x:c r="D30" s="18"/>
      <x:c r="E30" s="18"/>
      <x:c r="F30" s="18"/>
    </x:row>
    <x:row r="31" ht="26" customHeight="1">
      <x:c r="A31" s="17" t="str">
        <x:v>Молочная продукция и мороженое</x:v>
      </x:c>
      <x:c r="B31" s="17" t="n">
        <x:v>4</x:v>
      </x:c>
      <x:c r="C31" s="2"/>
      <x:c r="D31" s="18"/>
      <x:c r="E31" s="18"/>
      <x:c r="F31" s="18"/>
    </x:row>
    <x:row r="32" ht="26" customHeight="1">
      <x:c r="A32" s="17" t="str">
        <x:v>Хлеб и кондитерские изделия</x:v>
      </x:c>
      <x:c r="B32" s="17" t="n">
        <x:v>10</x:v>
      </x:c>
      <x:c r="C32" s="2"/>
      <x:c r="D32" s="18"/>
      <x:c r="E32" s="18"/>
      <x:c r="F32" s="18"/>
    </x:row>
    <x:row r="33" ht="26" customHeight="1">
      <x:c r="A33" s="17" t="str">
        <x:v>Напитки и пивоварение</x:v>
      </x:c>
      <x:c r="B33" s="17" t="n">
        <x:v>2</x:v>
      </x:c>
      <x:c r="C33" s="2"/>
      <x:c r="D33" s="18"/>
      <x:c r="E33" s="18"/>
      <x:c r="F33" s="18"/>
    </x:row>
    <x:row r="34" ht="26" customHeight="1">
      <x:c r="A34" s="17" t="str">
        <x:v>Стройматериалы и стекло</x:v>
      </x:c>
      <x:c r="B34" s="17" t="n">
        <x:v>5</x:v>
      </x:c>
      <x:c r="C34" s="2"/>
      <x:c r="D34" s="18"/>
      <x:c r="E34" s="18"/>
      <x:c r="F34" s="18"/>
    </x:row>
    <x:row r="35" ht="26" customHeight="1">
      <x:c r="A35" s="17" t="str">
        <x:v>Масличные и масла</x:v>
      </x:c>
      <x:c r="B35" s="17" t="n">
        <x:v>1</x:v>
      </x:c>
      <x:c r="C35" s="2"/>
      <x:c r="D35" s="2"/>
      <x:c r="E35" s="2"/>
      <x:c r="F35" s="2"/>
    </x:row>
    <x:row r="36" ht="26" customHeight="1">
      <x:c r="A36" s="17" t="str">
        <x:v>Текстиль и одежда</x:v>
      </x:c>
      <x:c r="B36" s="17" t="n">
        <x:v>5</x:v>
      </x:c>
      <x:c r="C36" s="2"/>
      <x:c r="D36" s="2"/>
      <x:c r="E36" s="2"/>
      <x:c r="F36" s="2"/>
    </x:row>
    <x:row r="37" ht="26" customHeight="1">
      <x:c r="A37" s="17" t="str">
        <x:v>Вино и крепкие напитки</x:v>
      </x:c>
      <x:c r="B37" s="17" t="n">
        <x:v>6</x:v>
      </x:c>
      <x:c r="C37" s="2"/>
      <x:c r="D37" s="20" t="str">
        <x:v>ЕДИНИЦА ОТБОРА
Карточка может обозначать предприятие или группу, а не уникальный договор. Бренды не считаются отдельными заводами.
Порог проверяется по счёту: записывайте отдельно MDL с НДС, без НДС, кВт·ч и период. Один сезонный пик не означает постоянные закупки.</x:v>
      </x:c>
      <x:c r="E37" s="20"/>
      <x:c r="F37" s="20"/>
    </x:row>
    <x:row r="38" ht="26" customHeight="1">
      <x:c r="A38" s="17" t="str">
        <x:v>Сахар и агропереработка</x:v>
      </x:c>
      <x:c r="B38" s="17" t="n">
        <x:v>1</x:v>
      </x:c>
      <x:c r="C38" s="2"/>
      <x:c r="D38" s="20"/>
      <x:c r="E38" s="20"/>
      <x:c r="F38" s="20"/>
    </x:row>
    <x:row r="39" ht="26" customHeight="1">
      <x:c r="A39" s="17" t="str">
        <x:v>Окна и фасады</x:v>
      </x:c>
      <x:c r="B39" s="17" t="n">
        <x:v>1</x:v>
      </x:c>
      <x:c r="C39" s="2"/>
      <x:c r="D39" s="20"/>
      <x:c r="E39" s="20"/>
      <x:c r="F39" s="20"/>
    </x:row>
    <x:row r="40" ht="26" customHeight="1">
      <x:c r="A40" s="17" t="str">
        <x:v>Бетон и тротуарная плитка</x:v>
      </x:c>
      <x:c r="B40" s="17" t="n">
        <x:v>2</x:v>
      </x:c>
      <x:c r="C40" s="2"/>
      <x:c r="D40" s="20"/>
      <x:c r="E40" s="20"/>
      <x:c r="F40" s="20"/>
    </x:row>
    <x:row r="41" ht="26" customHeight="1">
      <x:c r="A41" s="17" t="str">
        <x:v>Обработка камня</x:v>
      </x:c>
      <x:c r="B41" s="17" t="n">
        <x:v>2</x:v>
      </x:c>
      <x:c r="C41" s="2"/>
      <x:c r="D41" s="20"/>
      <x:c r="E41" s="20"/>
      <x:c r="F41" s="20"/>
    </x:row>
    <x:row r="42" ht="26" customHeight="1">
      <x:c r="A42" s="17" t="str">
        <x:v>Косметика и бытовая химия</x:v>
      </x:c>
      <x:c r="B42" s="17" t="n">
        <x:v>1</x:v>
      </x:c>
      <x:c r="C42" s="2"/>
      <x:c r="D42" s="20"/>
      <x:c r="E42" s="20"/>
      <x:c r="F42" s="20"/>
    </x:row>
    <x:row r="43" ht="26" customHeight="1">
      <x:c r="A43" s="17" t="str">
        <x:v>Фармацевтика</x:v>
      </x:c>
      <x:c r="B43" s="17" t="n">
        <x:v>2</x:v>
      </x:c>
      <x:c r="C43" s="2"/>
      <x:c r="D43" s="20"/>
      <x:c r="E43" s="20"/>
      <x:c r="F43" s="20"/>
    </x:row>
    <x:row r="44" ht="26" customHeight="1">
      <x:c r="A44" s="17" t="str">
        <x:v>Автокомпоненты и кабели</x:v>
      </x:c>
      <x:c r="B44" s="17" t="n">
        <x:v>2</x:v>
      </x:c>
      <x:c r="C44" s="2"/>
      <x:c r="D44" s="2"/>
      <x:c r="E44" s="2"/>
      <x:c r="F44" s="2"/>
    </x:row>
    <x:row r="45" ht="26" customHeight="1">
      <x:c r="A45" s="17" t="str">
        <x:v>Промышленные прачечные</x:v>
      </x:c>
      <x:c r="B45" s="17" t="n">
        <x:v>2</x:v>
      </x:c>
      <x:c r="C45" s="2"/>
      <x:c r="D45" s="2"/>
      <x:c r="E45" s="2"/>
      <x:c r="F45" s="2"/>
    </x:row>
    <x:row r="46" ht="26" customHeight="1">
      <x:c r="A46" s="17" t="str">
        <x:v>Переработка отходов</x:v>
      </x:c>
      <x:c r="B46" s="17" t="n">
        <x:v>1</x:v>
      </x:c>
      <x:c r="C46" s="2"/>
      <x:c r="D46" s="2"/>
      <x:c r="E46" s="2"/>
      <x:c r="F46" s="2"/>
    </x:row>
    <x:row r="47" ht="26" customHeight="1">
      <x:c r="A47" s="17" t="str">
        <x:v>Бассейны и спортивные комплексы</x:v>
      </x:c>
      <x:c r="B47" s="17" t="n">
        <x:v>1</x:v>
      </x:c>
      <x:c r="C47" s="2"/>
      <x:c r="D47" s="2"/>
      <x:c r="E47" s="2"/>
      <x:c r="F47" s="2"/>
    </x:row>
    <x:row r="48" ht="26" customHeight="1">
      <x:c r="A48" s="17" t="str">
        <x:v>Частные медицинские учреждения</x:v>
      </x:c>
      <x:c r="B48" s="17" t="n">
        <x:v>1</x:v>
      </x:c>
      <x:c r="C48" s="2"/>
      <x:c r="D48" s="2"/>
      <x:c r="E48" s="2"/>
      <x:c r="F48" s="2"/>
    </x:row>
    <x:row r="49" ht="26" customHeight="1">
      <x:c r="A49" s="17" t="str">
        <x:v>Гостиницы и SPA</x:v>
      </x:c>
      <x:c r="B49" s="17" t="n">
        <x:v>1</x:v>
      </x:c>
      <x:c r="C49" s="2"/>
      <x:c r="D49" s="2"/>
      <x:c r="E49" s="2"/>
      <x:c r="F49" s="2"/>
    </x:row>
    <x:row r="50" ht="26" customHeight="1">
      <x:c r="A50" s="17" t="str">
        <x:v>Продуктовые сети и опт</x:v>
      </x:c>
      <x:c r="B50" s="17" t="n">
        <x:v>2</x:v>
      </x:c>
      <x:c r="C50" s="2"/>
      <x:c r="D50" s="2"/>
      <x:c r="E50" s="2"/>
      <x:c r="F50" s="2"/>
    </x:row>
    <x:row r="51">
      <x:c r="A51" s="2"/>
      <x:c r="B51" s="2"/>
      <x:c r="C51" s="2"/>
      <x:c r="D51" s="2"/>
      <x:c r="E51" s="2"/>
      <x:c r="F51" s="2"/>
    </x:row>
    <x:row r="52">
      <x:c r="A52" s="2"/>
      <x:c r="B52" s="2"/>
      <x:c r="C52" s="2"/>
      <x:c r="D52" s="2"/>
      <x:c r="E52" s="2"/>
      <x:c r="F52" s="2"/>
    </x:row>
    <x:row r="53">
      <x:c r="A53" s="2"/>
      <x:c r="B53" s="2"/>
      <x:c r="C53" s="2"/>
      <x:c r="D53" s="2"/>
      <x:c r="E53" s="2"/>
      <x:c r="F53" s="2"/>
    </x:row>
    <x:row r="54">
      <x:c r="A54" s="2"/>
      <x:c r="B54" s="2"/>
      <x:c r="C54" s="2"/>
      <x:c r="D54" s="2"/>
      <x:c r="E54" s="2"/>
      <x:c r="F54" s="2"/>
    </x:row>
    <x:row r="55">
      <x:c r="A55" s="2"/>
      <x:c r="B55" s="2"/>
      <x:c r="C55" s="2"/>
      <x:c r="D55" s="2"/>
      <x:c r="E55" s="2"/>
      <x:c r="F55" s="2"/>
    </x:row>
    <x:row r="56">
      <x:c r="A56" s="2"/>
      <x:c r="B56" s="2"/>
      <x:c r="C56" s="2"/>
      <x:c r="D56" s="2"/>
      <x:c r="E56" s="2"/>
      <x:c r="F56" s="2"/>
    </x:row>
  </x:sheetData>
  <x:mergeCells>
    <x:mergeCell ref="D5:F14"/>
    <x:mergeCell ref="A17:F20"/>
    <x:mergeCell ref="A22:F22"/>
    <x:mergeCell ref="D25:F34"/>
    <x:mergeCell ref="D37:F4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03C5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" hidden="0" customWidth="1"/>
    <x:col min="2" max="2" width="31" hidden="0" customWidth="1"/>
    <x:col min="3" max="3" width="11" hidden="0" customWidth="1"/>
    <x:col min="4" max="4" width="31" hidden="0" customWidth="1"/>
    <x:col min="5" max="5" width="42" hidden="0" customWidth="1"/>
    <x:col min="6" max="6" width="69" hidden="0" customWidth="1"/>
    <x:col min="7" max="7" width="57" hidden="0" customWidth="1"/>
    <x:col min="8" max="8" width="65" hidden="0" customWidth="1"/>
    <x:col min="9" max="9" width="78" hidden="0" customWidth="1"/>
    <x:col min="10" max="10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3" t="str">
        <x:v>80 кандидатов · от 30 000 MDL в месяц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8" customHeight="1">
      <x:c r="A3" s="4" t="str">
        <x:v>Вывод о перспективности основан на процессе и масштабе; фактические расходы на электричество для всех карточек не установлены.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 t="str">
        <x:v>A — приоритетная квалификация; B — уточнить масштаб / данные; S — отдельная работа с крупными группами. Это очередность, не рейтинг потребления.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 t="str">
        <x:v>Полные данные финансовых источников — на листе «Обороты». Для Medpark доступны только официальные поисковые фрагменты.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45" customHeight="1">
      <x:c r="A6" s="22" t="str">
        <x:v>ID</x:v>
      </x:c>
      <x:c r="B6" s="22" t="str">
        <x:v>Предприятие / группа</x:v>
      </x:c>
      <x:c r="C6" s="22" t="str">
        <x:v>Очередь</x:v>
      </x:c>
      <x:c r="D6" s="22" t="str">
        <x:v>Направление</x:v>
      </x:c>
      <x:c r="E6" s="22" t="str">
        <x:v>Местонахождение / тип адреса</x:v>
      </x:c>
      <x:c r="F6" s="22" t="str">
        <x:v>ОПУБЛИКОВАНО: факты и масштаб</x:v>
      </x:c>
      <x:c r="G6" s="22" t="str">
        <x:v>ВЫВОД: основание для отбора</x:v>
      </x:c>
      <x:c r="H6" s="22" t="str">
        <x:v>НЕ ПРОВЕРЕНО: вопрос квалификации</x:v>
      </x:c>
      <x:c r="I6" s="22" t="str">
        <x:v>Источники деятельности / масштаба</x:v>
      </x:c>
      <x:c r="J6" s="22" t="str">
        <x:v>Изменение</x:v>
      </x:c>
    </x:row>
    <x:row r="7" ht="100" customHeight="1">
      <x:c r="A7" s="24" t="str">
        <x:v>E01</x:v>
      </x:c>
      <x:c r="B7" s="25" t="str">
        <x:v>TANDEM</x:v>
      </x:c>
      <x:c r="C7" s="27" t="str">
        <x:v>A</x:v>
      </x:c>
      <x:c r="D7" s="24" t="str">
        <x:v>Мебель и дерево</x:v>
      </x:c>
      <x:c r="E7" s="24" t="str">
        <x:v>Молдова; адрес фабрики уточнить. Салон: Chișinău, Petricani 15/1.</x:v>
      </x:c>
      <x:c r="F7" s="24" t="str">
        <x:v>На сайте заявлены фабрика 5 000 м², станки Homag/Biesse/SCM, раскрой CNC, лазерная кромка, покрасочная камера и ИК-сушка.</x:v>
      </x:c>
      <x:c r="G7" s="24" t="str">
        <x:v>Станки, аспирация, сжатый воздух и отделка дают основания проверять регулярную электрическую нагрузку.</x:v>
      </x:c>
      <x:c r="H7" s="24" t="str">
        <x:v>Сколько смен и работающих станков? Тип энергии для сушки? Где счётчик фабрики, есть ли солнечная генерация?</x:v>
      </x:c>
      <x:c r="I7" s="29" t="str">
        <x:v>https://tandem.md/ro/mobila-la-comanda/</x:v>
      </x:c>
      <x:c r="J7" s="24" t="str">
        <x:v>Исходная база</x:v>
      </x:c>
    </x:row>
    <x:row r="8" ht="100" customHeight="1">
      <x:c r="A8" s="18" t="str">
        <x:v>E02</x:v>
      </x:c>
      <x:c r="B8" s="26" t="str">
        <x:v>Ambianța</x:v>
      </x:c>
      <x:c r="C8" s="28" t="str">
        <x:v>A</x:v>
      </x:c>
      <x:c r="D8" s="18" t="str">
        <x:v>Мебель и дерево</x:v>
      </x:c>
      <x:c r="E8" s="18" t="str">
        <x:v>Производство в Молдове; конкретные площадки и их адреса уточнить.</x:v>
      </x:c>
      <x:c r="F8" s="18" t="str">
        <x:v>Компания описывает мебельное производство и оборудование HOLZMA, HOMAG, WEEKE, VITAP, BIESSE; упоминает производство матрасов.</x:v>
      </x:c>
      <x:c r="G8" s="18" t="str">
        <x:v>Механизированный раскрой, обработка плит и вспомогательные системы делают фабрику перспективной для проверки.</x:v>
      </x:c>
      <x:c r="H8" s="18" t="str">
        <x:v>Какие молдавские юрлица и площадки закупают электричество? Сменность, часы работы линий, отдельный учёт магазинов?</x:v>
      </x:c>
      <x:c r="I8" s="30" t="str">
        <x:v>https://ambianta.md/despre-noi</x:v>
      </x:c>
      <x:c r="J8" s="18" t="str">
        <x:v>Исходная база</x:v>
      </x:c>
    </x:row>
    <x:row r="9" ht="100" customHeight="1">
      <x:c r="A9" s="24" t="str">
        <x:v>E03</x:v>
      </x:c>
      <x:c r="B9" s="25" t="str">
        <x:v>Confort</x:v>
      </x:c>
      <x:c r="C9" s="27" t="str">
        <x:v>B</x:v>
      </x:c>
      <x:c r="D9" s="24" t="str">
        <x:v>Мебель и дерево</x:v>
      </x:c>
      <x:c r="E9" s="24" t="str">
        <x:v>Chișinău, Mesager 19 — опубликованный адрес компании.</x:v>
      </x:c>
      <x:c r="F9" s="24" t="str">
        <x:v>На сайте указано собственное производство мягкой и корпусной мебели; приведено общее описание производственного оборудования.</x:v>
      </x:c>
      <x:c r="G9" s="24" t="str">
        <x:v>Возможны нагрузки раскроя, деревообработки и компрессоров; масштаб электрической части пока не установлен.</x:v>
      </x:c>
      <x:c r="H9" s="24" t="str">
        <x:v>Какие операции выполняются самостоятельно? Число станков, смены, потребление фабрики отдельно от салонов?</x:v>
      </x:c>
      <x:c r="I9" s="29" t="str">
        <x:v>https://confort.md/ro/about</x:v>
      </x:c>
      <x:c r="J9" s="24" t="str">
        <x:v>Исходная база</x:v>
      </x:c>
    </x:row>
    <x:row r="10" ht="100" customHeight="1">
      <x:c r="A10" s="18" t="str">
        <x:v>E04</x:v>
      </x:c>
      <x:c r="B10" s="26" t="str">
        <x:v>Nani</x:v>
      </x:c>
      <x:c r="C10" s="28" t="str">
        <x:v>B</x:v>
      </x:c>
      <x:c r="D10" s="18" t="str">
        <x:v>Мебель и дерево</x:v>
      </x:c>
      <x:c r="E10" s="18" t="str">
        <x:v>Фабрика возле Chișinău — по описанию компании; точный адрес уточнить.</x:v>
      </x:c>
      <x:c r="F10" s="18" t="str">
        <x:v>Компания сообщает о своей фабрике: мебель из натурального дерева, двери и инженерная доска; описывает цикл от сырья до отделки.</x:v>
      </x:c>
      <x:c r="G10" s="18" t="str">
        <x:v>Полный цикл интереснее одной сборки мебели: потенциально обработка древесины, аспирация и отделка.</x:v>
      </x:c>
      <x:c r="H10" s="18" t="str">
        <x:v>Есть ли собственная сушка, на каком топливе? Какие операции и станки работают ежедневно, сколько смен?</x:v>
      </x:c>
      <x:c r="I10" s="30" t="str">
        <x:v>https://www.nani.md/ro/about</x:v>
      </x:c>
      <x:c r="J10" s="18" t="str">
        <x:v>Исходная база</x:v>
      </x:c>
    </x:row>
    <x:row r="11" ht="100" customHeight="1">
      <x:c r="A11" s="24" t="str">
        <x:v>E05</x:v>
      </x:c>
      <x:c r="B11" s="25" t="str">
        <x:v>KADO</x:v>
      </x:c>
      <x:c r="C11" s="27" t="str">
        <x:v>B</x:v>
      </x:c>
      <x:c r="D11" s="24" t="str">
        <x:v>Мебель и дерево</x:v>
      </x:c>
      <x:c r="E11" s="24" t="str">
        <x:v>Chișinău, Uzinelor 96/4 — опубликованный адрес.</x:v>
      </x:c>
      <x:c r="F11" s="24" t="str">
        <x:v>Сайт предлагает изготовление шпонированных дверей, лестниц из дуба/ясеня, кухонь из дерева/MDF/PAL и окрашенных изделий MDF.</x:v>
      </x:c>
      <x:c r="G11" s="24" t="str">
        <x:v>Деревообработка и окраска — признаки возможного потребления; число станков и объём производства неизвестны.</x:v>
      </x:c>
      <x:c r="H11" s="24" t="str">
        <x:v>Работа в собственном цехе или часть на подрядчиках? Смены, покрасочная камера, компрессоры, прямой договор энергоснабжения?</x:v>
      </x:c>
      <x:c r="I11" s="29" t="str">
        <x:v>https://www.kado.md/</x:v>
      </x:c>
      <x:c r="J11" s="24" t="str">
        <x:v>Исходная база</x:v>
      </x:c>
    </x:row>
    <x:row r="12" ht="100" customHeight="1">
      <x:c r="A12" s="18" t="str">
        <x:v>E06</x:v>
      </x:c>
      <x:c r="B12" s="26" t="str">
        <x:v>Moldagrotehnica</x:v>
      </x:c>
      <x:c r="C12" s="28" t="str">
        <x:v>A</x:v>
      </x:c>
      <x:c r="D12" s="18" t="str">
        <x:v>Металл и сварка</x:v>
      </x:c>
      <x:c r="E12" s="18" t="str">
        <x:v>Bălți, Industriala 4.</x:v>
      </x:c>
      <x:c r="F12" s="18" t="str">
        <x:v>В перечне оснащения указаны 28 полуавтоматов сварки, 2 плазмореза CNC, 2 двухшпиндельных токарных станка CNC и другое металлообрабатывающее оборудование.</x:v>
      </x:c>
      <x:c r="G12" s="18" t="str">
        <x:v>Наиболее конкретный в выборке перечень сварочного и станочного оборудования; полезный первый кандидат.</x:v>
      </x:c>
      <x:c r="H12" s="18" t="str">
        <x:v>Сколько из 28 постов работает одновременно и в течение года? Сменность, выпуск, компрессоры, пики мощности?</x:v>
      </x:c>
      <x:c r="I12" s="30" t="str">
        <x:v>https://moldagrotehnica.md/inzestrarea-sa-moldagrotehnica/</x:v>
      </x:c>
      <x:c r="J12" s="18" t="str">
        <x:v>Исходная база</x:v>
      </x:c>
    </x:row>
    <x:row r="13" ht="100" customHeight="1">
      <x:c r="A13" s="24" t="str">
        <x:v>E07</x:v>
      </x:c>
      <x:c r="B13" s="25" t="str">
        <x:v>Mavitex-Cons</x:v>
      </x:c>
      <x:c r="C13" s="27" t="str">
        <x:v>A</x:v>
      </x:c>
      <x:c r="D13" s="24" t="str">
        <x:v>Металл и сварка</x:v>
      </x:c>
      <x:c r="E13" s="24" t="str">
        <x:v>Băcioi, Florești 20.</x:v>
      </x:c>
      <x:c r="F13" s="24" t="str">
        <x:v>Компания публикует услуги роботизированной сварки, лазерной резки, гибки CNC и изготовления металлоконструкций.</x:v>
      </x:c>
      <x:c r="G13" s="24" t="str">
        <x:v>Сочетание серийной сварки и нескольких станочных процессов — сильный производственный сигнал.</x:v>
      </x:c>
      <x:c r="H13" s="24" t="str">
        <x:v>Какая доля заказов серийная? Часы загрузки робота/лазера, сменность, отдельный счётчик цеха?</x:v>
      </x:c>
      <x:c r="I13" s="29" t="str">
        <x:v>https://mavitexcons.md/</x:v>
      </x:c>
      <x:c r="J13" s="24" t="str">
        <x:v>Исходная база</x:v>
      </x:c>
    </x:row>
    <x:row r="14" ht="100" customHeight="1">
      <x:c r="A14" s="18" t="str">
        <x:v>E08</x:v>
      </x:c>
      <x:c r="B14" s="26" t="str">
        <x:v>Vizant</x:v>
      </x:c>
      <x:c r="C14" s="28" t="str">
        <x:v>A</x:v>
      </x:c>
      <x:c r="D14" s="18" t="str">
        <x:v>Металл и сварка</x:v>
      </x:c>
      <x:c r="E14" s="18" t="str">
        <x:v>Industrială 10A — адрес на сайте; населённый пункт площадки уточнить.</x:v>
      </x:c>
      <x:c r="F14" s="18" t="str">
        <x:v>Указаны лазерная резка листа и труб, гибка CNC, роботизированная и ручная лазерная сварка, холодная штамповка.</x:v>
      </x:c>
      <x:c r="G14" s="18" t="str">
        <x:v>Несколько электрических технологических процессов; потенциально интереснее эпизодической ручной сварки.</x:v>
      </x:c>
      <x:c r="H14" s="18" t="str">
        <x:v>Число линий и станков, фактические часы работы, компрессорное хозяйство, сменность и график заказов?</x:v>
      </x:c>
      <x:c r="I14" s="30" t="str">
        <x:v>https://vizant.md/ro/</x:v>
      </x:c>
      <x:c r="J14" s="18" t="str">
        <x:v>Исходная база</x:v>
      </x:c>
    </x:row>
    <x:row r="15" ht="100" customHeight="1">
      <x:c r="A15" s="24" t="str">
        <x:v>E09</x:v>
      </x:c>
      <x:c r="B15" s="25" t="str">
        <x:v>SD GRAND LUX</x:v>
      </x:c>
      <x:c r="C15" s="27" t="str">
        <x:v>A</x:v>
      </x:c>
      <x:c r="D15" s="24" t="str">
        <x:v>Металл и сварка</x:v>
      </x:c>
      <x:c r="E15" s="24" t="str">
        <x:v>Chișinău, Meșterul Manole 9.</x:v>
      </x:c>
      <x:c r="F15" s="24" t="str">
        <x:v>Сайт laser-rezka.md указывает SD GRAND LUX и предлагает лазерную резку листа/труб, сварочного робота, фрезеровку CNC и поточное производство.</x:v>
      </x:c>
      <x:c r="G15" s="24" t="str">
        <x:v>Комплекс станочных операций и сварочный робот обосновывают раннюю проверку электрической нагрузки.</x:v>
      </x:c>
      <x:c r="H15" s="24" t="str">
        <x:v>Какие станки установлены на этой площадке? Загрузка и смены? Подтвердить юрлицо и владельца договора.</x:v>
      </x:c>
      <x:c r="I15" s="29" t="str">
        <x:v>https://laser-rezka.md/ro/</x:v>
      </x:c>
      <x:c r="J15" s="24" t="str">
        <x:v>Исходная база</x:v>
      </x:c>
    </x:row>
    <x:row r="16" ht="100" customHeight="1">
      <x:c r="A16" s="18" t="str">
        <x:v>E10</x:v>
      </x:c>
      <x:c r="B16" s="26" t="str">
        <x:v>METANCOR</x:v>
      </x:c>
      <x:c r="C16" s="28" t="str">
        <x:v>B</x:v>
      </x:c>
      <x:c r="D16" s="18" t="str">
        <x:v>Металл и сварка</x:v>
      </x:c>
      <x:c r="E16" s="18" t="str">
        <x:v>Chișinău, Uzinelor 169.</x:v>
      </x:c>
      <x:c r="F16" s="18" t="str">
        <x:v>Компания описывает собственное изготовление изделий из нержавеющей стали наряду с торговлей; на сайте представлены услуги сварки и обработки металла.</x:v>
      </x:c>
      <x:c r="G16" s="18" t="str">
        <x:v>Производственное подразделение есть, но доля производства относительно торговли и масштаб загрузки неизвестны.</x:v>
      </x:c>
      <x:c r="H16" s="18" t="str">
        <x:v>Сколько электричества потребляет именно производство? Число станков, сварочные посты, сменность и субаренда?</x:v>
      </x:c>
      <x:c r="I16" s="30" t="str">
        <x:v>https://metancor.md/o-kompanii/</x:v>
      </x:c>
      <x:c r="J16" s="18" t="str">
        <x:v>Исходная база</x:v>
      </x:c>
    </x:row>
    <x:row r="17" ht="100" customHeight="1">
      <x:c r="A17" s="24" t="str">
        <x:v>E11</x:v>
      </x:c>
      <x:c r="B17" s="25" t="str">
        <x:v>AIRFLOW</x:v>
      </x:c>
      <x:c r="C17" s="27" t="str">
        <x:v>B</x:v>
      </x:c>
      <x:c r="D17" s="24" t="str">
        <x:v>Металл и сварка</x:v>
      </x:c>
      <x:c r="E17" s="24" t="str">
        <x:v>Chișinău, Uzinelor 205/1.</x:v>
      </x:c>
      <x:c r="F17" s="24" t="str">
        <x:v>На производственной странице опубликованы услуги TIG- и лазерной сварки.</x:v>
      </x:c>
      <x:c r="G17" s="24" t="str">
        <x:v>Подходящий тип деятельности, однако количество оборудования и длительность его работы не установлены.</x:v>
      </x:c>
      <x:c r="H17" s="24" t="str">
        <x:v>Сварка выполняется серийно или по разовым заказам? Число постов, часы работы и другие производственные нагрузки?</x:v>
      </x:c>
      <x:c r="I17" s="29" t="str">
        <x:v>https://airflow.md/ro/service/welding/</x:v>
      </x:c>
      <x:c r="J17" s="24" t="str">
        <x:v>Исходная база</x:v>
      </x:c>
    </x:row>
    <x:row r="18" ht="100" customHeight="1">
      <x:c r="A18" s="18" t="str">
        <x:v>E12</x:v>
      </x:c>
      <x:c r="B18" s="26" t="str">
        <x:v>RUBIPLAST-COM</x:v>
      </x:c>
      <x:c r="C18" s="28" t="str">
        <x:v>A</x:v>
      </x:c>
      <x:c r="D18" s="18" t="str">
        <x:v>Пластик и упаковка</x:v>
      </x:c>
      <x:c r="E18" s="18" t="str">
        <x:v>Chișinău, Alba Iulia 75, bl. A — контактный адрес; цех уточнить.</x:v>
      </x:c>
      <x:c r="F18" s="18" t="str">
        <x:v>Компания заявляет литьё пластмассовых ящиков, корзин, вёдер и другой тары методом инжекции.</x:v>
      </x:c>
      <x:c r="G18" s="18" t="str">
        <x:v>Литьё под давлением — основание проверять нагрузку нагрева, приводов и охлаждения оборудования.</x:v>
      </x:c>
      <x:c r="H18" s="18" t="str">
        <x:v>Число термопластавтоматов, электрическая мощность и часы работы; оборотное охлаждение, смены, объём закупок из сети?</x:v>
      </x:c>
      <x:c r="I18" s="30" t="str">
        <x:v>https://www.rubiplast.com.md/?lang=ro&amp;page=services</x:v>
      </x:c>
      <x:c r="J18" s="18" t="str">
        <x:v>Исходная база</x:v>
      </x:c>
    </x:row>
    <x:row r="19" ht="100" customHeight="1">
      <x:c r="A19" s="24" t="str">
        <x:v>E13</x:v>
      </x:c>
      <x:c r="B19" s="25" t="str">
        <x:v>UISPAC</x:v>
      </x:c>
      <x:c r="C19" s="27" t="str">
        <x:v>B</x:v>
      </x:c>
      <x:c r="D19" s="24" t="str">
        <x:v>Пластик и упаковка</x:v>
      </x:c>
      <x:c r="E19" s="24" t="str">
        <x:v>Chișinău — указан на сайте; адрес производственной площадки уточнить.</x:v>
      </x:c>
      <x:c r="F19" s="24" t="str">
        <x:v>Сайт описывает изготовление пластмассовых изделий и бутылок, технологической оснастки и переработку отходов.</x:v>
      </x:c>
      <x:c r="G19" s="24" t="str">
        <x:v>Производство полимеров и переработка перспективны, но текущая конфигурация линий не подтверждена.</x:v>
      </x:c>
      <x:c r="H19" s="24" t="str">
        <x:v>Какие линии действуют сейчас: литьё, выдув, переработка? Их количество, часы работы и собственная генерация?</x:v>
      </x:c>
      <x:c r="I19" s="29" t="str">
        <x:v>https://uispac.md/en/main</x:v>
      </x:c>
      <x:c r="J19" s="24" t="str">
        <x:v>Исходная база</x:v>
      </x:c>
    </x:row>
    <x:row r="20" ht="100" customHeight="1">
      <x:c r="A20" s="18" t="str">
        <x:v>E14</x:v>
      </x:c>
      <x:c r="B20" s="26" t="str">
        <x:v>Pandrim</x:v>
      </x:c>
      <x:c r="C20" s="28" t="str">
        <x:v>A</x:v>
      </x:c>
      <x:c r="D20" s="18" t="str">
        <x:v>Пластик и упаковка</x:v>
      </x:c>
      <x:c r="E20" s="18" t="str">
        <x:v>Chișinău, Podgorenilor 91A.</x:v>
      </x:c>
      <x:c r="F20" s="18" t="str">
        <x:v>Компания описывает литьё пластика под давлением, дробление и регрануляцию.</x:v>
      </x:c>
      <x:c r="G20" s="18" t="str">
        <x:v>Несколько стадий обработки полимеров позволяют ожидать существенную электрическую часть; величина неизвестна.</x:v>
      </x:c>
      <x:c r="H20" s="18" t="str">
        <x:v>Мощность и число линий, часы регрануляции, сменность, охлаждение, доля собственной солнечной генерации?</x:v>
      </x:c>
      <x:c r="I20" s="30" t="str">
        <x:v>https://pandrim.md/despre-noi/</x:v>
      </x:c>
      <x:c r="J20" s="18" t="str">
        <x:v>Исходная база</x:v>
      </x:c>
    </x:row>
    <x:row r="21" ht="100" customHeight="1">
      <x:c r="A21" s="24" t="str">
        <x:v>E15</x:v>
      </x:c>
      <x:c r="B21" s="25" t="str">
        <x:v>SANIN</x:v>
      </x:c>
      <x:c r="C21" s="27" t="str">
        <x:v>A</x:v>
      </x:c>
      <x:c r="D21" s="24" t="str">
        <x:v>Пластик и упаковка</x:v>
      </x:c>
      <x:c r="E21" s="24" t="str">
        <x:v>Durlești, Tudor Vladimirescu 70.</x:v>
      </x:c>
      <x:c r="F21" s="24" t="str">
        <x:v>На сайте указано производство полиэтиленовой плёнки, гибкой упаковки и самоклеящихся этикеток.</x:v>
      </x:c>
      <x:c r="G21" s="24" t="str">
        <x:v>Производство плёнки и упаковки — основание проверить длительные циклы работы линий; технология каждого участка требует уточнения.</x:v>
      </x:c>
      <x:c r="H21" s="24" t="str">
        <x:v>Есть ли собственная экструзия? Часы работы линий и печати, сменность, отходы/переработка, собственная генерация?</x:v>
      </x:c>
      <x:c r="I21" s="29" t="str">
        <x:v>https://www.sanin.md/ro/</x:v>
      </x:c>
      <x:c r="J21" s="24" t="str">
        <x:v>Исходная база</x:v>
      </x:c>
    </x:row>
    <x:row r="22" ht="100" customHeight="1">
      <x:c r="A22" s="18" t="str">
        <x:v>E16</x:v>
      </x:c>
      <x:c r="B22" s="26" t="str">
        <x:v>Moldpack</x:v>
      </x:c>
      <x:c r="C22" s="28" t="str">
        <x:v>B</x:v>
      </x:c>
      <x:c r="D22" s="18" t="str">
        <x:v>Пластик и упаковка</x:v>
      </x:c>
      <x:c r="E22" s="18" t="str">
        <x:v>Фабрика: Chișinău, Pruncul 2/1.</x:v>
      </x:c>
      <x:c r="F22" s="18" t="str">
        <x:v>Компания производит картонную упаковку и сообщает о более чем 2 500 м² производственных и складских площадей в сумме.</x:v>
      </x:c>
      <x:c r="G22" s="18" t="str">
        <x:v>Высечка, обработка и склейка упаковки могут давать регулярную нагрузку; площадь склада не равна мощности производства.</x:v>
      </x:c>
      <x:c r="H22" s="18" t="str">
        <x:v>Какие линии работают на фабрике, сколько смен? Производит ли компания сам гофрокартон или перерабатывает закупленный?</x:v>
      </x:c>
      <x:c r="I22" s="30" t="str">
        <x:v>https://www.moldpack.md/ro/despre-noi</x:v>
      </x:c>
      <x:c r="J22" s="18" t="str">
        <x:v>Исходная база</x:v>
      </x:c>
    </x:row>
    <x:row r="23" ht="100" customHeight="1">
      <x:c r="A23" s="24" t="str">
        <x:v>E17</x:v>
      </x:c>
      <x:c r="B23" s="25" t="str">
        <x:v>DAVAS-NUCAR / Ecocarton</x:v>
      </x:c>
      <x:c r="C23" s="27" t="str">
        <x:v>B</x:v>
      </x:c>
      <x:c r="D23" s="24" t="str">
        <x:v>Пластик и упаковка</x:v>
      </x:c>
      <x:c r="E23" s="24" t="str">
        <x:v>Chișinău, Otovasca 19.</x:v>
      </x:c>
      <x:c r="F23" s="24" t="str">
        <x:v>Сайт Ecocarton связывает бренд с DAVAS-NUCAR и описывает изготовление упаковки из гофрокартона на производственном оборудовании.</x:v>
      </x:c>
      <x:c r="G23" s="24" t="str">
        <x:v>Нужно отделить электропотребление переработки картона от возможного изготовления самого гофролиста.</x:v>
      </x:c>
      <x:c r="H23" s="24" t="str">
        <x:v>Собственный гофроагрегат или закупленный лист? Тип нагрева, число линий, смены и юрлицо договора?</x:v>
      </x:c>
      <x:c r="I23" s="29" t="str">
        <x:v>https://ecocarton.md/ro/about</x:v>
      </x:c>
      <x:c r="J23" s="24" t="str">
        <x:v>Исходная база</x:v>
      </x:c>
    </x:row>
    <x:row r="24" ht="100" customHeight="1">
      <x:c r="A24" s="18" t="str">
        <x:v>E18</x:v>
      </x:c>
      <x:c r="B24" s="26" t="str">
        <x:v>Pergament</x:v>
      </x:c>
      <x:c r="C24" s="28" t="str">
        <x:v>A</x:v>
      </x:c>
      <x:c r="D24" s="18" t="str">
        <x:v>Пластик и упаковка</x:v>
      </x:c>
      <x:c r="E24" s="18" t="str">
        <x:v>Chișinău, Columna 170, bloc C — контактный адрес; компания описывает 2 площадки.</x:v>
      </x:c>
      <x:c r="F24" s="18" t="str">
        <x:v>Опубликованы офсетные машины Heidelberg/Manroland, УФ-сушка, 4 ламинатора и другие линии. Заявлено 3 000 м² производства и складов на двух площадках.</x:v>
      </x:c>
      <x:c r="G24" s="18" t="str">
        <x:v>Печатные линии, сушка, ламинация и упаковочное оборудование дают конкретное основание для квалификации.</x:v>
      </x:c>
      <x:c r="H24" s="18" t="str">
        <x:v>Какие площадки сейчас эксплуатируются после расширения 2026 года? Счётчики, смены, сушильные системы и закупки из сети?</x:v>
      </x:c>
      <x:c r="I24" s="30" t="str">
        <x:v>https://pergament.md/ro/productie-si-tehnologii/</x:v>
      </x:c>
      <x:c r="J24" s="18" t="str">
        <x:v>Исходная база</x:v>
      </x:c>
    </x:row>
    <x:row r="25" ht="100" customHeight="1">
      <x:c r="A25" s="24" t="str">
        <x:v>E19</x:v>
      </x:c>
      <x:c r="B25" s="25" t="str">
        <x:v>Firstline</x:v>
      </x:c>
      <x:c r="C25" s="27" t="str">
        <x:v>A</x:v>
      </x:c>
      <x:c r="D25" s="24" t="str">
        <x:v>Пластик и упаковка</x:v>
      </x:c>
      <x:c r="E25" s="24" t="str">
        <x:v>Chișinău, Muncești 801.</x:v>
      </x:c>
      <x:c r="F25" s="24" t="str">
        <x:v>На сайте описано изготовление одно- и многослойной гибкой упаковки с глубокой и флексографической печатью.</x:v>
      </x:c>
      <x:c r="G25" s="24" t="str">
        <x:v>Промышленная печать и обработка плёнок могут обеспечивать регулярную электрическую нагрузку.</x:v>
      </x:c>
      <x:c r="H25" s="24" t="str">
        <x:v>Собственная экструзия или переработка готовой плёнки? Ламинация, тип сушки, часы работы печатных машин, смены?</x:v>
      </x:c>
      <x:c r="I25" s="29" t="str">
        <x:v>https://www.firstline.md/ro/ambalajele-flexibile/</x:v>
      </x:c>
      <x:c r="J25" s="24" t="str">
        <x:v>Исходная база</x:v>
      </x:c>
    </x:row>
    <x:row r="26" ht="100" customHeight="1">
      <x:c r="A26" s="18" t="str">
        <x:v>E20</x:v>
      </x:c>
      <x:c r="B26" s="26" t="str">
        <x:v>Elit Fruct</x:v>
      </x:c>
      <x:c r="C26" s="28" t="str">
        <x:v>A</x:v>
      </x:c>
      <x:c r="D26" s="18" t="str">
        <x:v>Холод и заморозка</x:v>
      </x:c>
      <x:c r="E26" s="18" t="str">
        <x:v>Ustia, r. Dubăsari — опубликованный адрес предприятия.</x:v>
      </x:c>
      <x:c r="F26" s="18" t="str">
        <x:v>Компания описывает холодильный комплекс CA/ULO вместимостью около 6 000 тонн с оборудованием Besseling, Bitzer и Kelvion.</x:v>
      </x:c>
      <x:c r="G26" s="18" t="str">
        <x:v>Промышленный холод может давать длительную нагрузку; сезон, заполнение камер и температура определяют реальный объём.</x:v>
      </x:c>
      <x:c r="H26" s="18" t="str">
        <x:v>Помесячная загрузка камер, температура и периоды хранения; профиль ночного потребления, солнечная генерация и прямой договор?</x:v>
      </x:c>
      <x:c r="I26" s="30" t="str">
        <x:v>https://www.elitfruct.md/ro/producerea</x:v>
      </x:c>
      <x:c r="J26" s="18" t="str">
        <x:v>Исходная база</x:v>
      </x:c>
    </x:row>
    <x:row r="27" ht="100" customHeight="1">
      <x:c r="A27" s="24" t="str">
        <x:v>E21</x:v>
      </x:c>
      <x:c r="B27" s="25" t="str">
        <x:v>NeoFrost</x:v>
      </x:c>
      <x:c r="C27" s="27" t="str">
        <x:v>A</x:v>
      </x:c>
      <x:c r="D27" s="24" t="str">
        <x:v>Холод и заморозка</x:v>
      </x:c>
      <x:c r="E27" s="24" t="str">
        <x:v>Hrușova, r. Criuleni, Ștefan cel Mare 42.</x:v>
      </x:c>
      <x:c r="F27" s="24" t="str">
        <x:v>Сайт описывает производство замороженных продуктов, быструю заморозку и 7 холодильных камер.</x:v>
      </x:c>
      <x:c r="G27" s="24" t="str">
        <x:v>Заморозка и хранение — сочетание пиковой технологической и более продолжительной холодильной нагрузки.</x:v>
      </x:c>
      <x:c r="H27" s="24" t="str">
        <x:v>Производительность заморозки, месяцы работы, температура и заполнение камер, годовые закупки электричества?</x:v>
      </x:c>
      <x:c r="I27" s="29" t="str">
        <x:v>https://neofrost.md/fabric</x:v>
      </x:c>
      <x:c r="J27" s="24" t="str">
        <x:v>Исходная база</x:v>
      </x:c>
    </x:row>
    <x:row r="28" ht="100" customHeight="1">
      <x:c r="A28" s="18" t="str">
        <x:v>E22</x:v>
      </x:c>
      <x:c r="B28" s="26" t="str">
        <x:v>Frații Vaipan</x:v>
      </x:c>
      <x:c r="C28" s="28" t="str">
        <x:v>B</x:v>
      </x:c>
      <x:c r="D28" s="18" t="str">
        <x:v>Холод и заморозка</x:v>
      </x:c>
      <x:c r="E28" s="18" t="str">
        <x:v>Адрес холодильника уточнить. Офис: Chișinău, Igor Vieru 20, of. 1.</x:v>
      </x:c>
      <x:c r="F28" s="18" t="str">
        <x:v>Компания предлагает холодильное хранение овощей/фруктов: заявлены 200 тонн и 216 м².</x:v>
      </x:c>
      <x:c r="G28" s="18" t="str">
        <x:v>Есть прямой признак холодильной нагрузки, но масштаб заметно меньше крупных комплексов из выборки.</x:v>
      </x:c>
      <x:c r="H28" s="18" t="str">
        <x:v>Фактическая загрузка и температура, месяцы хранения, собственник холодильника и плательщик по счётчику?</x:v>
      </x:c>
      <x:c r="I28" s="30" t="str">
        <x:v>https://vaipan.md/index.php/ro/servicii/frigider-pentru-fructe-legume</x:v>
      </x:c>
      <x:c r="J28" s="18" t="str">
        <x:v>Исходная база</x:v>
      </x:c>
    </x:row>
    <x:row r="29" ht="100" customHeight="1">
      <x:c r="A29" s="24" t="str">
        <x:v>E23</x:v>
      </x:c>
      <x:c r="B29" s="25" t="str">
        <x:v>Rogob</x:v>
      </x:c>
      <x:c r="C29" s="27" t="str">
        <x:v>A</x:v>
      </x:c>
      <x:c r="D29" s="24" t="str">
        <x:v>Мясо и птица</x:v>
      </x:c>
      <x:c r="E29" s="24" t="str">
        <x:v>Goianul Nou, Stăuceni, Gloriei 1/1.</x:v>
      </x:c>
      <x:c r="F29" s="24" t="str">
        <x:v>Компания сообщает о мясоперерабатывающей фабрике площадью свыше 7 000 м² и мощности более 50 тонн готовой продукции в сутки.</x:v>
      </x:c>
      <x:c r="G29" s="24" t="str">
        <x:v>Мясопереработка — основание проверить холод, приводы и упаковку; заявленная мощность не равна фактическому выпуску.</x:v>
      </x:c>
      <x:c r="H29" s="24" t="str">
        <x:v>Фактическая загрузка, смены, холод и заморозка, электричество фабрики отдельно от магазинов и пекарни?</x:v>
      </x:c>
      <x:c r="I29" s="29" t="str">
        <x:v>https://rogob.md/fabrica</x:v>
      </x:c>
      <x:c r="J29" s="24" t="str">
        <x:v>Исходная база</x:v>
      </x:c>
    </x:row>
    <x:row r="30" ht="100" customHeight="1">
      <x:c r="A30" s="18" t="str">
        <x:v>E24</x:v>
      </x:c>
      <x:c r="B30" s="26" t="str">
        <x:v>Orhei-Vit</x:v>
      </x:c>
      <x:c r="C30" s="28" t="str">
        <x:v>A</x:v>
      </x:c>
      <x:c r="D30" s="18" t="str">
        <x:v>Переработка фруктов и овощей</x:v>
      </x:c>
      <x:c r="E30" s="18" t="str">
        <x:v>Контактный офис: Chișinău, Industrială 40; заводские площадки уточнить.</x:v>
      </x:c>
      <x:c r="F30" s="18" t="str">
        <x:v>Компания производит соки, пюре, детское питание и другую продукцию переработки фруктов и овощей.</x:v>
      </x:c>
      <x:c r="G30" s="18" t="str">
        <x:v>Переработка и розлив могут создавать значимые нагрузки насосов, приводов и охлаждения; тепло учитывать отдельно.</x:v>
      </x:c>
      <x:c r="H30" s="18" t="str">
        <x:v>Какие заводы действуют и какова сезонность? Объём электроэнергии по каждому счётчику, тип энергии для нагрева?</x:v>
      </x:c>
      <x:c r="I30" s="30" t="str">
        <x:v>https://orhei-vit.com/</x:v>
      </x:c>
      <x:c r="J30" s="18" t="str">
        <x:v>Исходная база</x:v>
      </x:c>
    </x:row>
    <x:row r="31" ht="100" customHeight="1">
      <x:c r="A31" s="24" t="str">
        <x:v>E25</x:v>
      </x:c>
      <x:c r="B31" s="25" t="str">
        <x:v>Alfa-Nistru</x:v>
      </x:c>
      <x:c r="C31" s="27" t="str">
        <x:v>A</x:v>
      </x:c>
      <x:c r="D31" s="24" t="str">
        <x:v>Переработка фруктов и овощей</x:v>
      </x:c>
      <x:c r="E31" s="24" t="str">
        <x:v>Soroca, Ștefan cel Mare 131.</x:v>
      </x:c>
      <x:c r="F31" s="24" t="str">
        <x:v>Официальный сайт описывает консервное производство и переработку плодоовощной продукции; опубликовано объявление собрания акционеров в 2026 году.</x:v>
      </x:c>
      <x:c r="G31" s="24" t="str">
        <x:v>Промышленная переработка заслуживает проверки, особенно в сезон; объявление собрания не доказывает текущую загрузку линий.</x:v>
      </x:c>
      <x:c r="H31" s="24" t="str">
        <x:v>Какие линии работают в 2026 году? Сезонность, холод, электрическая и тепловая части, план выпуска на следующий год?</x:v>
      </x:c>
      <x:c r="I31" s="29" t="str">
        <x:v>https://alfa-nistru.com/ro</x:v>
      </x:c>
      <x:c r="J31" s="24" t="str">
        <x:v>Исходная база</x:v>
      </x:c>
    </x:row>
    <x:row r="32" ht="100" customHeight="1">
      <x:c r="A32" s="18" t="str">
        <x:v>E26</x:v>
      </x:c>
      <x:c r="B32" s="26" t="str">
        <x:v>JLC</x:v>
      </x:c>
      <x:c r="C32" s="28" t="str">
        <x:v>A</x:v>
      </x:c>
      <x:c r="D32" s="18" t="str">
        <x:v>Молочная продукция и мороженое</x:v>
      </x:c>
      <x:c r="E32" s="18" t="str">
        <x:v>Chișinău, Sarmizegetusa 90.</x:v>
      </x:c>
      <x:c r="F32" s="18" t="str">
        <x:v>Сайт описывает переработку молока, производство сыра, розлив воды и пункты охлаждения молока.</x:v>
      </x:c>
      <x:c r="G32" s="18" t="str">
        <x:v>Охлаждение, приводы, насосы и розлив дают основания проверять регулярный спрос на электричество.</x:v>
      </x:c>
      <x:c r="H32" s="18" t="str">
        <x:v>Какие площадки входят в договор JLC, какие относятся к другим компаниям группы? Холод, смены и годовые закупки из сети?</x:v>
      </x:c>
      <x:c r="I32" s="30" t="str">
        <x:v>https://jlc.md/about/</x:v>
      </x:c>
      <x:c r="J32" s="18" t="str">
        <x:v>Исходная база</x:v>
      </x:c>
    </x:row>
    <x:row r="33" ht="100" customHeight="1">
      <x:c r="A33" s="24" t="str">
        <x:v>E27</x:v>
      </x:c>
      <x:c r="B33" s="25" t="str">
        <x:v>Floreni</x:v>
      </x:c>
      <x:c r="C33" s="27" t="str">
        <x:v>A</x:v>
      </x:c>
      <x:c r="D33" s="24" t="str">
        <x:v>Мясо и птица</x:v>
      </x:c>
      <x:c r="E33" s="24" t="str">
        <x:v>Floreni, r. Anenii Noi — контактный адрес группы; остальные площадки уточнить.</x:v>
      </x:c>
      <x:c r="F33" s="24" t="str">
        <x:v>Группа описывает комбикорм, птицеводство, убой, мясопереработку и переработку производственных отходов.</x:v>
      </x:c>
      <x:c r="G33" s="24" t="str">
        <x:v>Несколько производственных звеньев могут давать суммарно значимую нагрузку, но не обязательно один договор.</x:v>
      </x:c>
      <x:c r="H33" s="24" t="str">
        <x:v>Какие юрлица и счётчики входят в закупки? Комбикорм, вентиляция птичников, холод, собственная генерация?</x:v>
      </x:c>
      <x:c r="I33" s="29" t="str">
        <x:v>https://floreni.md/company_group.php</x:v>
      </x:c>
      <x:c r="J33" s="24" t="str">
        <x:v>Исходная база</x:v>
      </x:c>
    </x:row>
    <x:row r="34" ht="100" customHeight="1">
      <x:c r="A34" s="18" t="str">
        <x:v>E28</x:v>
      </x:c>
      <x:c r="B34" s="26" t="str">
        <x:v>Axedum</x:v>
      </x:c>
      <x:c r="C34" s="28" t="str">
        <x:v>A</x:v>
      </x:c>
      <x:c r="D34" s="18" t="str">
        <x:v>Мясо и птица</x:v>
      </x:c>
      <x:c r="E34" s="18" t="str">
        <x:v>Комбикормовый завод: Grătiești, Mihai Viteazul 99; у группы есть другие площадки.</x:v>
      </x:c>
      <x:c r="F34" s="18" t="str">
        <x:v>Сайт описывает комбикормовый завод, автоматизированный убой, замороженную курятину и собственную переработку/консервы.</x:v>
      </x:c>
      <x:c r="G34" s="18" t="str">
        <x:v>Комбикорм и холод — разные перспективные нагрузки; нужно разделить площадки и собственников договоров.</x:v>
      </x:c>
      <x:c r="H34" s="18" t="str">
        <x:v>Закупки единые или по предприятиям? Дробление, грануляция, холод, часы работы, собственная солнечная генерация?</x:v>
      </x:c>
      <x:c r="I34" s="30" t="str">
        <x:v>https://axedum.md/</x:v>
      </x:c>
      <x:c r="J34" s="18" t="str">
        <x:v>Исходная база</x:v>
      </x:c>
    </x:row>
    <x:row r="35" ht="100" customHeight="1">
      <x:c r="A35" s="24" t="str">
        <x:v>E29</x:v>
      </x:c>
      <x:c r="B35" s="25" t="str">
        <x:v>Bucuria</x:v>
      </x:c>
      <x:c r="C35" s="27" t="str">
        <x:v>B</x:v>
      </x:c>
      <x:c r="D35" s="24" t="str">
        <x:v>Хлеб и кондитерские изделия</x:v>
      </x:c>
      <x:c r="E35" s="24" t="str">
        <x:v>Chișinău, Columna 162.</x:v>
      </x:c>
      <x:c r="F35" s="24" t="str">
        <x:v>Компания описывает кондитерское производство и ассортимент собственной продукции.</x:v>
      </x:c>
      <x:c r="G35" s="24" t="str">
        <x:v>Возможны нагрузки приготовления, охлаждения и упаковки; оборудование и объём электрической части не установлены.</x:v>
      </x:c>
      <x:c r="H35" s="24" t="str">
        <x:v>Какие линии работают, сколько смен, чем обеспечивается нагрев? Холодильная часть и фактический сетевой расход?</x:v>
      </x:c>
      <x:c r="I35" s="29" t="str">
        <x:v>https://bucuria.md/aboutus</x:v>
      </x:c>
      <x:c r="J35" s="24" t="str">
        <x:v>Исходная база</x:v>
      </x:c>
    </x:row>
    <x:row r="36" ht="100" customHeight="1">
      <x:c r="A36" s="18" t="str">
        <x:v>E30</x:v>
      </x:c>
      <x:c r="B36" s="26" t="str">
        <x:v>Efes Vitanta Moldova Brewery</x:v>
      </x:c>
      <x:c r="C36" s="28" t="str">
        <x:v>S</x:v>
      </x:c>
      <x:c r="D36" s="18" t="str">
        <x:v>Напитки и пивоварение</x:v>
      </x:c>
      <x:c r="E36" s="18" t="str">
        <x:v>Chișinău, Uzinelor 167.</x:v>
      </x:c>
      <x:c r="F36" s="18" t="str">
        <x:v>Официальный сайт описывает действующий бренд пивоваренного предприятия и производственную деятельность.</x:v>
      </x:c>
      <x:c r="G36" s="18" t="str">
        <x:v>Пивоварение и розлив — основание проверить холод, насосы, компрессоры и упаковку; объём не опубликован в изученных источниках.</x:v>
      </x:c>
      <x:c r="H36" s="18" t="str">
        <x:v>Кто закупает электроэнергию — местная площадка или группа? Холод, смены, условия договора, собственная генерация?</x:v>
      </x:c>
      <x:c r="I36" s="30" t="str">
        <x:v>https://efesmoldova.md/despre-noi/</x:v>
      </x:c>
      <x:c r="J36" s="18" t="str">
        <x:v>Исходная база</x:v>
      </x:c>
    </x:row>
    <x:row r="37" ht="100" customHeight="1">
      <x:c r="A37" s="24" t="str">
        <x:v>E31</x:v>
      </x:c>
      <x:c r="B37" s="25" t="str">
        <x:v>Holcim Moldova</x:v>
      </x:c>
      <x:c r="C37" s="27" t="str">
        <x:v>S</x:v>
      </x:c>
      <x:c r="D37" s="24" t="str">
        <x:v>Стройматериалы и стекло</x:v>
      </x:c>
      <x:c r="E37" s="24" t="str">
        <x:v>Цементный завод: Rezina, Viitorului 1.</x:v>
      </x:c>
      <x:c r="F37" s="24" t="str">
        <x:v>Официальный сайт Holcim Moldova описывает цементное производство в Rezina. Прежнее название Lafarge не выделено в отдельную компанию.</x:v>
      </x:c>
      <x:c r="G37" s="24" t="str">
        <x:v>Цементное производство интересно для проверки электрических приводов и помола; тепловую энергию печи считать отдельно.</x:v>
      </x:c>
      <x:c r="H37" s="24" t="str">
        <x:v>Фактические режимы помола/печи, расход электричества, кто проводит закупку и когда пересматривается контракт?</x:v>
      </x:c>
      <x:c r="I37" s="29" t="str">
        <x:v>https://www.holcim.md/ro/despre-noi</x:v>
      </x:c>
      <x:c r="J37" s="24" t="str">
        <x:v>Исходная база</x:v>
      </x:c>
    </x:row>
    <x:row r="38" ht="100" customHeight="1">
      <x:c r="A38" s="18" t="str">
        <x:v>E32</x:v>
      </x:c>
      <x:c r="B38" s="26" t="str">
        <x:v>MACON</x:v>
      </x:c>
      <x:c r="C38" s="28" t="str">
        <x:v>S</x:v>
      </x:c>
      <x:c r="D38" s="18" t="str">
        <x:v>Стройматериалы и стекло</x:v>
      </x:c>
      <x:c r="E38" s="18" t="str">
        <x:v>Chișinău, Uzinelor 104.</x:v>
      </x:c>
      <x:c r="F38" s="18" t="str">
        <x:v>Компания описывает производство кирпича, керамзита и блоков. Исторический кейс EBRD/GEFF подтверждает работу с электродвигателями и вентиляторами на предприятии.</x:v>
      </x:c>
      <x:c r="G38" s="18" t="str">
        <x:v>Есть прямое внешнее подтверждение электрических технологических нагрузок; текущий масштаб требует проверки.</x:v>
      </x:c>
      <x:c r="H38" s="18" t="str">
        <x:v>Какие участки сейчас действуют? Отдельно электричество и топливо печей; новые приводы, загрузка и условия закупки?</x:v>
      </x:c>
      <x:c r="I38" s="30" t="str">
        <x:v>https://macon.md/rom/o-kompanii.html
https://ebrdgeff.com/projects/moldovan-bricks-manufacturer-reduces-its-energy-consumption/</x:v>
      </x:c>
      <x:c r="J38" s="18" t="str">
        <x:v>Исходная база</x:v>
      </x:c>
    </x:row>
    <x:row r="39" ht="100" customHeight="1">
      <x:c r="A39" s="24" t="str">
        <x:v>E33</x:v>
      </x:c>
      <x:c r="B39" s="25" t="str">
        <x:v>Vetropack Chișinău</x:v>
      </x:c>
      <x:c r="C39" s="27" t="str">
        <x:v>S</x:v>
      </x:c>
      <x:c r="D39" s="24" t="str">
        <x:v>Стройматериалы и стекло</x:v>
      </x:c>
      <x:c r="E39" s="24" t="str">
        <x:v>Chișinău — стекольный завод.</x:v>
      </x:c>
      <x:c r="F39" s="24" t="str">
        <x:v>Официальный сайт описывает завод стеклянной упаковки. Годовой отчёт 2025 сообщает об остановке одной из двух печей в декабре; отчёт за I полугодие 2026 также упоминает временную остановку.</x:v>
      </x:c>
      <x:c r="G39" s="24" t="str">
        <x:v>Потенциально важный промышленный покупатель, но прежние параметры завода нельзя переносить на текущую нагрузку.</x:v>
      </x:c>
      <x:c r="H39" s="24" t="str">
        <x:v>Текущий режим печей на дату переговоров? Доля электричества/топлива, закупочная организация, потребление после изменения мощности?</x:v>
      </x:c>
      <x:c r="I39" s="29" t="str">
        <x:v>https://www.vetropack.com/en/about-us/locations/chisinau/
https://report.vetropack.com/2025/management_report
https://report.vetropack.com/h2026/management_report</x:v>
      </x:c>
      <x:c r="J39" s="24" t="str">
        <x:v>Исходная база</x:v>
      </x:c>
    </x:row>
    <x:row r="40" ht="100" customHeight="1">
      <x:c r="A40" s="18" t="str">
        <x:v>E34</x:v>
      </x:c>
      <x:c r="B40" s="26" t="str">
        <x:v>Floarea Soarelui / FLORIS (Trans-Oil)</x:v>
      </x:c>
      <x:c r="C40" s="28" t="str">
        <x:v>S</x:v>
      </x:c>
      <x:c r="D40" s="18" t="str">
        <x:v>Масличные и масла</x:v>
      </x:c>
      <x:c r="E40" s="18" t="str">
        <x:v>Bălți — масложировой завод.</x:v>
      </x:c>
      <x:c r="F40" s="18" t="str">
        <x:v>Сайт описывает переработку масличных, рафинацию и розлив. Trans-Oil в 2026 году сообщил о солнечной установке с ожидаемым покрытием около 45% потребности завода в электричестве.</x:v>
      </x:c>
      <x:c r="G40" s="18" t="str">
        <x:v>Большое производство может сочетаться с меньшим объёмом закупок из сети. Ожидаемые 45% — не подтверждённая фактическая выработка.</x:v>
      </x:c>
      <x:c r="H40" s="18" t="str">
        <x:v>Фактическая выработка солнечной станции и почасовой остаточный спрос? Кто закупает энергию, режимы и сроки договора?</x:v>
      </x:c>
      <x:c r="I40" s="30" t="str">
        <x:v>https://floris.md/page/about-us
https://www.transoilcorp.com/en/news/2026/sun-power-for-sunflower-a-new-energy-chapter-for-trans-oil/</x:v>
      </x:c>
      <x:c r="J40" s="18" t="str">
        <x:v>Исходная база</x:v>
      </x:c>
    </x:row>
    <x:row r="41" ht="100" customHeight="1">
      <x:c r="A41" s="24" t="str">
        <x:v>E35</x:v>
      </x:c>
      <x:c r="B41" s="25" t="str">
        <x:v>SUPRATEN</x:v>
      </x:c>
      <x:c r="C41" s="27" t="str">
        <x:v>S</x:v>
      </x:c>
      <x:c r="D41" s="24" t="str">
        <x:v>Стройматериалы и стекло</x:v>
      </x:c>
      <x:c r="E41" s="24" t="str">
        <x:v>Контактный адрес: Chișinău, Petricani 84; производственные площадки уточнить.</x:v>
      </x:c>
      <x:c r="F41" s="24" t="str">
        <x:v>Компания описывает собственное производство лакокрасочных материалов, сухих строительных смесей и мебели для ванных комнат.</x:v>
      </x:c>
      <x:c r="G41" s="24" t="str">
        <x:v>Смешивание, фасовка и мебельные операции могут давать несколько разных нагрузок; торговую сеть нужно отделить.</x:v>
      </x:c>
      <x:c r="H41" s="24" t="str">
        <x:v>Какое юрлицо закупает энергию для каждого производства? Смесители, сушилки, пылеудаление, смены, счётчики и собственная генерация?</x:v>
      </x:c>
      <x:c r="I41" s="29" t="str">
        <x:v>https://supraten.md/despre-compania</x:v>
      </x:c>
      <x:c r="J41" s="24" t="str">
        <x:v>Исходная база</x:v>
      </x:c>
    </x:row>
    <x:row r="42" ht="100" customHeight="1">
      <x:c r="A42" s="18" t="str">
        <x:v>E36</x:v>
      </x:c>
      <x:c r="B42" s="26" t="str">
        <x:v>Moldabela / Covoare Ungheni</x:v>
      </x:c>
      <x:c r="C42" s="28" t="str">
        <x:v>A</x:v>
      </x:c>
      <x:c r="D42" s="18" t="str">
        <x:v>Текстиль и одежда</x:v>
      </x:c>
      <x:c r="E42" s="18" t="str">
        <x:v>Ungheni — фабрика по описанию компании.</x:v>
      </x:c>
      <x:c r="F42" s="18" t="str">
        <x:v>Moldabela называет себя преемником Covoare Ungheni и описывает машинное ковроткачество с оборудованием Schönherr, Van de Wiele и Superba.</x:v>
      </x:c>
      <x:c r="G42" s="18" t="str">
        <x:v>Ткацкое и отделочное оборудование — основание проверить электрическую нагрузку; бренд и историческое предприятие не посчитаны дважды.</x:v>
      </x:c>
      <x:c r="H42" s="18" t="str">
        <x:v>Каково действующее юрлицо? Какие линии работают, есть ли собственное производство нити/термообработка, смены и топливо?</x:v>
      </x:c>
      <x:c r="I42" s="30" t="str">
        <x:v>https://moldabela.com/about-us/</x:v>
      </x:c>
      <x:c r="J42" s="18" t="str">
        <x:v>Исходная база</x:v>
      </x:c>
    </x:row>
    <x:row r="43" ht="100" customHeight="1">
      <x:c r="A43" s="24" t="str">
        <x:v>E37</x:v>
      </x:c>
      <x:c r="B43" s="25" t="str">
        <x:v>Franzeluța SA</x:v>
      </x:c>
      <x:c r="C43" s="27" t="str">
        <x:v>A</x:v>
      </x:c>
      <x:c r="D43" s="24" t="str">
        <x:v>Хлеб и кондитерские изделия</x:v>
      </x:c>
      <x:c r="E43" s="24" t="str">
        <x:v>Chișinău, Sarmizegetusa 30; адрес компании</x:v>
      </x:c>
      <x:c r="F43" s="24" t="str">
        <x:v>APP: хлебопекарное предприятие; выручка 2025 года 720,98 млн MDL, 1 164 сотрудника.</x:v>
      </x:c>
      <x:c r="G43" s="24" t="str">
        <x:v>Масштаб хлебного производства поддерживает гипотезу расходов выше порога: приводы, вентиляция, холод и упаковка.</x:v>
      </x:c>
      <x:c r="H43" s="24" t="str">
        <x:v>Какие печи электрические? Остаточные покупки из сети после солнечного проекта; закупка централизована?</x:v>
      </x:c>
      <x:c r="I43" s="29" t="str">
        <x:v>https://app.gov.md/companies/franzeluta/
https://storage.mtender.gov.md/get/ae827541-8995-427f-8103-1ca876807c0b-1681479294079</x:v>
      </x:c>
      <x:c r="J43" s="24" t="str">
        <x:v>Добавлено</x:v>
      </x:c>
    </x:row>
    <x:row r="44" ht="100" customHeight="1">
      <x:c r="A44" s="18" t="str">
        <x:v>E38</x:v>
      </x:c>
      <x:c r="B44" s="26" t="str">
        <x:v>IUGINTERTRANS SA / Milina</x:v>
      </x:c>
      <x:c r="C44" s="28" t="str">
        <x:v>A</x:v>
      </x:c>
      <x:c r="D44" s="18" t="str">
        <x:v>Хлеб и кондитерские изделия</x:v>
      </x:c>
      <x:c r="E44" s="18" t="str">
        <x:v>Taraclia, Comrat, Anenii Noi, Drochia; холодильный терминал Piatra Albă</x:v>
      </x:c>
      <x:c r="F44" s="18" t="str">
        <x:v>Компания описывает 6 хлебозаводов и терминал на 3 100 палетомест: 10 камер, от +4 до −22 °C. Выручка юрлица 2025 года — 898,60 млн MDL по indice.md.</x:v>
      </x:c>
      <x:c r="G44" s="18" t="str">
        <x:v>Сочетание хлебопечения, замороженной продукции и крупного холодильника — сильное основание для отбора.</x:v>
      </x:c>
      <x:c r="H44" s="18" t="str">
        <x:v>Разделить хлебозаводы, логистику и холодильник; кто держит договоры, каковы сетевые покупки и генерация?</x:v>
      </x:c>
      <x:c r="I44" s="30" t="str">
        <x:v>https://www.milina.md/
https://indice.md/company/279188/</x:v>
      </x:c>
      <x:c r="J44" s="18" t="str">
        <x:v>Добавлено</x:v>
      </x:c>
    </x:row>
    <x:row r="45" ht="100" customHeight="1">
      <x:c r="A45" s="24" t="str">
        <x:v>E39</x:v>
      </x:c>
      <x:c r="B45" s="25" t="str">
        <x:v>ȘAPTE SPICE SRL (Молдова)</x:v>
      </x:c>
      <x:c r="C45" s="27" t="str">
        <x:v>A</x:v>
      </x:c>
      <x:c r="D45" s="24" t="str">
        <x:v>Хлеб и кондитерские изделия</x:v>
      </x:c>
      <x:c r="E45" s="24" t="str">
        <x:v>Chișinău, Muncești 121/E; юридический адрес из справочника</x:v>
      </x:c>
      <x:c r="F45" s="24" t="str">
        <x:v>Профиль работодателя описывает хлебное производство в Молдове; indice.md: 482,12 млн MDL выручки и 502 сотрудника за 2025 год.</x:v>
      </x:c>
      <x:c r="G45" s="24" t="str">
        <x:v>Крупный штат и выручка при собственном хлебном производстве оправдывают приоритетную квалификацию.</x:v>
      </x:c>
      <x:c r="H45" s="24" t="str">
        <x:v>Получить деловой контакт фабрики и её адрес. Не смешивать с одноимённым румынским производителем муки.</x:v>
      </x:c>
      <x:c r="I45" s="29" t="str">
        <x:v>https://www.rabota.md/ro/companies/apte-spice-srl
https://indice.md/company/149687/</x:v>
      </x:c>
      <x:c r="J45" s="24" t="str">
        <x:v>Добавлено</x:v>
      </x:c>
    </x:row>
    <x:row r="46" ht="100" customHeight="1">
      <x:c r="A46" s="18" t="str">
        <x:v>E40</x:v>
      </x:c>
      <x:c r="B46" s="26" t="str">
        <x:v>BRODEȚCHI SRL</x:v>
      </x:c>
      <x:c r="C46" s="28" t="str">
        <x:v>A</x:v>
      </x:c>
      <x:c r="D46" s="18" t="str">
        <x:v>Хлеб и кондитерские изделия</x:v>
      </x:c>
      <x:c r="E46" s="18" t="str">
        <x:v>Orhei; точный адрес производственного счётчика уточнить</x:v>
      </x:c>
      <x:c r="F46" s="18" t="str">
        <x:v>Собственный сайт описывает хлебопечение и поставки в несколько районов. Справочник: выручка 404,66 млн MDL и 660 работников в 2025 году.</x:v>
      </x:c>
      <x:c r="G46" s="18" t="str">
        <x:v>Серийное хлебопечение такого масштаба — сильный сигнал нагрузки от электроприводов, холода и вентиляции.</x:v>
      </x:c>
      <x:c r="H46" s="18" t="str">
        <x:v>Разделить производство, мельницу и торговлю; тип топлива печей, смены, солнечная генерация.</x:v>
      </x:c>
      <x:c r="I46" s="30" t="str">
        <x:v>https://brodetchi.md/despre-noi/
https://indice.md/company/274550/</x:v>
      </x:c>
      <x:c r="J46" s="18" t="str">
        <x:v>Добавлено</x:v>
      </x:c>
    </x:row>
    <x:row r="47" ht="100" customHeight="1">
      <x:c r="A47" s="24" t="str">
        <x:v>E41</x:v>
      </x:c>
      <x:c r="B47" s="25" t="str">
        <x:v>PANILINO SRL</x:v>
      </x:c>
      <x:c r="C47" s="27" t="str">
        <x:v>A</x:v>
      </x:c>
      <x:c r="D47" s="24" t="str">
        <x:v>Хлеб и кондитерские изделия</x:v>
      </x:c>
      <x:c r="E47" s="24" t="str">
        <x:v>Chișinău, Uzinelor 17/2; адрес по каталогу производителя</x:v>
      </x:c>
      <x:c r="F47" s="24" t="str">
        <x:v>Madein описывает производство кондитерских изделий; indice.md: 136,43 млн MDL выручки и 162 сотрудника в 2025 году.</x:v>
      </x:c>
      <x:c r="G47" s="24" t="str">
        <x:v>Кондитерское производство с охлаждением и заметной выручкой подходит для первичного отбора.</x:v>
      </x:c>
      <x:c r="H47" s="24" t="str">
        <x:v>Актуализировать телефон каталога, адрес цеха, загрузку холода и тип печей.</x:v>
      </x:c>
      <x:c r="I47" s="29" t="str">
        <x:v>https://store.madein.md/panilino
https://indice.md/company/261538/</x:v>
      </x:c>
      <x:c r="J47" s="24" t="str">
        <x:v>Добавлено</x:v>
      </x:c>
    </x:row>
    <x:row r="48" ht="100" customHeight="1">
      <x:c r="A48" s="18" t="str">
        <x:v>E42</x:v>
      </x:c>
      <x:c r="B48" s="26" t="str">
        <x:v>DULCINELLA SRL</x:v>
      </x:c>
      <x:c r="C48" s="28" t="str">
        <x:v>A</x:v>
      </x:c>
      <x:c r="D48" s="18" t="str">
        <x:v>Хлеб и кондитерские изделия</x:v>
      </x:c>
      <x:c r="E48" s="18" t="str">
        <x:v>Chișinău / сеть; местонахождение производственного цеха уточнить</x:v>
      </x:c>
      <x:c r="F48" s="18" t="str">
        <x:v>Компания описывает производство кондитерских изделий и собственную торговую сеть; выручка юрлица 2025 года 136,07 млн MDL, 213 сотрудников по indice.md.</x:v>
      </x:c>
      <x:c r="G48" s="18" t="str">
        <x:v>Холод, подготовка продукции, выпечка и сеть продаж создают несколько возможных объектов поставки.</x:v>
      </x:c>
      <x:c r="H48" s="18" t="str">
        <x:v>Какие площадки входят в юрлицо, сколько потребляет центральный цех; не относить всю выручку сети к одному объекту.</x:v>
      </x:c>
      <x:c r="I48" s="30" t="str">
        <x:v>https://dulcinella.md/ro/content/despre-noi
https://indice.md/company/9816/</x:v>
      </x:c>
      <x:c r="J48" s="18" t="str">
        <x:v>Добавлено</x:v>
      </x:c>
    </x:row>
    <x:row r="49" ht="100" customHeight="1">
      <x:c r="A49" s="24" t="str">
        <x:v>E43</x:v>
      </x:c>
      <x:c r="B49" s="25" t="str">
        <x:v>CAHULPAN SA</x:v>
      </x:c>
      <x:c r="C49" s="27" t="str">
        <x:v>A</x:v>
      </x:c>
      <x:c r="D49" s="24" t="str">
        <x:v>Хлеб и кондитерские изделия</x:v>
      </x:c>
      <x:c r="E49" s="24" t="str">
        <x:v>Cahul, Păcii 20</x:v>
      </x:c>
      <x:c r="F49" s="24" t="str">
        <x:v>Сайт описывает хлеб, кондитерские изделия, пиво и безалкогольные напитки; справочник: 45,23 млн MDL выручки и 138 сотрудников в 2025 году.</x:v>
      </x:c>
      <x:c r="G49" s="24" t="str">
        <x:v>Несколько производственных процессов и размер предприятия делают его кандидатом, даже при обороте ниже столичных лидеров.</x:v>
      </x:c>
      <x:c r="H49" s="24" t="str">
        <x:v>Какие линии работают сейчас, топливо печей и нагрева, смены, прямой договор.</x:v>
      </x:c>
      <x:c r="I49" s="29" t="str">
        <x:v>https://cahulpan.com/despre/
https://indice.md/company/87570/</x:v>
      </x:c>
      <x:c r="J49" s="24" t="str">
        <x:v>Добавлено</x:v>
      </x:c>
    </x:row>
    <x:row r="50" ht="100" customHeight="1">
      <x:c r="A50" s="18" t="str">
        <x:v>E44</x:v>
      </x:c>
      <x:c r="B50" s="26" t="str">
        <x:v>NEFIS SRL</x:v>
      </x:c>
      <x:c r="C50" s="28" t="str">
        <x:v>A</x:v>
      </x:c>
      <x:c r="D50" s="18" t="str">
        <x:v>Хлеб и кондитерские изделия</x:v>
      </x:c>
      <x:c r="E50" s="18" t="str">
        <x:v>Cojușna; точный адрес и договор фабрики уточнить</x:v>
      </x:c>
      <x:c r="F50" s="18" t="str">
        <x:v>AmCham описывает производство печенья, вафель, конфет и шоколада. Справочник за 2025 год: выручка 266,74 млн MDL, 345 работников.</x:v>
      </x:c>
      <x:c r="G50" s="18" t="str">
        <x:v>Серийные линии, приводы, холод и упаковка дают основания ожидать значимых закупок электричества.</x:v>
      </x:c>
      <x:c r="H50" s="18" t="str">
        <x:v>Разделить нагрев и электричество, проверить действующие линии и собственную генерацию. Старый штат в профиле AmCham не считать текущим.</x:v>
      </x:c>
      <x:c r="I50" s="30" t="str">
        <x:v>https://amcham.md/?go=members&amp;m=86&amp;sub=members
https://indice.md/company/114127/</x:v>
      </x:c>
      <x:c r="J50" s="18" t="str">
        <x:v>Добавлено</x:v>
      </x:c>
    </x:row>
    <x:row r="51" ht="100" customHeight="1">
      <x:c r="A51" s="24" t="str">
        <x:v>E45</x:v>
      </x:c>
      <x:c r="B51" s="25" t="str">
        <x:v>SANDRILIONA SRL / Sandra</x:v>
      </x:c>
      <x:c r="C51" s="27" t="str">
        <x:v>A</x:v>
      </x:c>
      <x:c r="D51" s="24" t="str">
        <x:v>Молочная продукция и мороженое</x:v>
      </x:c>
      <x:c r="E51" s="24" t="str">
        <x:v>Ialoveni, Alexandru cel Bun 5/5</x:v>
      </x:c>
      <x:c r="F51" s="24" t="str">
        <x:v>Сайт Sandra описывает фабрику мороженого; indice.md публикует выручку 400,71 млн MDL и 266 работников за 2024 год.</x:v>
      </x:c>
      <x:c r="G51" s="24" t="str">
        <x:v>Мороженое требует заморозки и хранения; это один из наиболее подходящих профилей электрической нагрузки.</x:v>
      </x:c>
      <x:c r="H51" s="24" t="str">
        <x:v>Сезон выпуска, круглогодичное хранение, сетевые покупки после генерации; актуализировать финансовый год.</x:v>
      </x:c>
      <x:c r="I51" s="29" t="str">
        <x:v>https://www.sandra.md/about
https://indice.md/company/128/</x:v>
      </x:c>
      <x:c r="J51" s="24" t="str">
        <x:v>Добавлено</x:v>
      </x:c>
    </x:row>
    <x:row r="52" ht="100" customHeight="1">
      <x:c r="A52" s="18" t="str">
        <x:v>E46</x:v>
      </x:c>
      <x:c r="B52" s="26" t="str">
        <x:v>PEGAS-BAKERY SRL</x:v>
      </x:c>
      <x:c r="C52" s="28" t="str">
        <x:v>B</x:v>
      </x:c>
      <x:c r="D52" s="18" t="str">
        <x:v>Хлеб и кондитерские изделия</x:v>
      </x:c>
      <x:c r="E52" s="18" t="str">
        <x:v>Chișinău, Petricani 174; юридический адрес</x:v>
      </x:c>
      <x:c r="F52" s="18" t="str">
        <x:v>В справочнике указаны хлебопекарная деятельность, 47,83 млн MDL выручки и 55 работников в 2025 году.</x:v>
      </x:c>
      <x:c r="G52" s="18" t="str">
        <x:v>Производственный профиль и масштаб позволяют включить в отбор; самостоятельное описание площадки ещё нужно получить.</x:v>
      </x:c>
      <x:c r="H52" s="18" t="str">
        <x:v>Уточнить работающий цех, контакт и тип печей. Не объединять автоматически с мясным брендом Pegas.</x:v>
      </x:c>
      <x:c r="I52" s="30" t="str">
        <x:v>https://indice.md/company/171192/</x:v>
      </x:c>
      <x:c r="J52" s="18" t="str">
        <x:v>Добавлено</x:v>
      </x:c>
    </x:row>
    <x:row r="53" ht="100" customHeight="1">
      <x:c r="A53" s="24" t="str">
        <x:v>E47</x:v>
      </x:c>
      <x:c r="B53" s="25" t="str">
        <x:v>LAPMOL SRL</x:v>
      </x:c>
      <x:c r="C53" s="27" t="str">
        <x:v>A</x:v>
      </x:c>
      <x:c r="D53" s="24" t="str">
        <x:v>Молочная продукция и мороженое</x:v>
      </x:c>
      <x:c r="E53" s="24" t="str">
        <x:v>Офис: Chișinău, Ankara 6; заводы Călărași / Lipcani по опубликованным описаниям</x:v>
      </x:c>
      <x:c r="F53" s="24" t="str">
        <x:v>Производство молочной продукции; описание заводов есть в каталоге и декларации компании. Выручка юрлица 2025 года — 622,02 млн MDL по indice.md.</x:v>
      </x:c>
      <x:c r="G53" s="24" t="str">
        <x:v>Охлаждение молока, переработка и хранение — сильный профиль; оборот также включает коммерческие операции.</x:v>
      </x:c>
      <x:c r="H53" s="24" t="str">
        <x:v>Подтвердить состав действующих заводов, раздельные счётчики, долю импорта в обороте и остаточный спрос из сети.</x:v>
      </x:c>
      <x:c r="I53" s="29" t="str">
        <x:v>https://madein.md/lapmol
https://indice.md/company/3587/
https://storage.mtender.gov.md/get/b2738ccf-2a47-4f58-ab7b-eda7a2f8e52f-1583754679945</x:v>
      </x:c>
      <x:c r="J53" s="24" t="str">
        <x:v>Добавлено</x:v>
      </x:c>
    </x:row>
    <x:row r="54" ht="100" customHeight="1">
      <x:c r="A54" s="18" t="str">
        <x:v>E48</x:v>
      </x:c>
      <x:c r="B54" s="26" t="str">
        <x:v>LACTIS SA</x:v>
      </x:c>
      <x:c r="C54" s="28" t="str">
        <x:v>A</x:v>
      </x:c>
      <x:c r="D54" s="18" t="str">
        <x:v>Молочная продукция и мороженое</x:v>
      </x:c>
      <x:c r="E54" s="18" t="str">
        <x:v>Rîșcani, Comarov 73</x:v>
      </x:c>
      <x:c r="F54" s="18" t="str">
        <x:v>Официальный сайт представляет молочные продукты и центральную площадку; план контроля ANSA на 2026 год включает молочный завод Lactis.</x:v>
      </x:c>
      <x:c r="G54" s="18" t="str">
        <x:v>Молокопереработка, охлаждение и хранение сыра поддерживают гипотезу регулярного потребления.</x:v>
      </x:c>
      <x:c r="H54" s="18" t="str">
        <x:v>Объём переработки, сменность, холод и фактические покупки из сети; кто является плательщиком.</x:v>
      </x:c>
      <x:c r="I54" s="30" t="str">
        <x:v>https://lactis.md/
https://www.ansa.gov.md/sites/default/files/2025-11/Ordinul%20nr.465%20din%2020.11.2025%20Plan%20controale%202026.pdf</x:v>
      </x:c>
      <x:c r="J54" s="18" t="str">
        <x:v>Добавлено</x:v>
      </x:c>
    </x:row>
    <x:row r="55" ht="100" customHeight="1">
      <x:c r="A55" s="24" t="str">
        <x:v>E49</x:v>
      </x:c>
      <x:c r="B55" s="25" t="str">
        <x:v>NIVALI-PROD SRL / Nivalli</x:v>
      </x:c>
      <x:c r="C55" s="27" t="str">
        <x:v>A</x:v>
      </x:c>
      <x:c r="D55" s="24" t="str">
        <x:v>Мясо и птица</x:v>
      </x:c>
      <x:c r="E55" s="24" t="str">
        <x:v>Dubăsarii Vechi, Criuleni; завод по реестру компании</x:v>
      </x:c>
      <x:c r="F55" s="24" t="str">
        <x:v>Официально описаны мясокомбинат и оборудование из Австрии/Германии. Справочник: 281,60 млн MDL выручки и 253 сотрудника за 2025 год.</x:v>
      </x:c>
      <x:c r="G55" s="24" t="str">
        <x:v>Холод и механизированная мясопереработка дают сильное основание для проверки порога.</x:v>
      </x:c>
      <x:c r="H55" s="24" t="str">
        <x:v>Часы работы, холодильные камеры, заводской счётчик, собственная генерация.</x:v>
      </x:c>
      <x:c r="I55" s="29" t="str">
        <x:v>https://www.nivalli.md/despre-nivalli/
https://indice.md/company/236502/</x:v>
      </x:c>
      <x:c r="J55" s="24" t="str">
        <x:v>Добавлено</x:v>
      </x:c>
    </x:row>
    <x:row r="56" ht="100" customHeight="1">
      <x:c r="A56" s="18" t="str">
        <x:v>E50</x:v>
      </x:c>
      <x:c r="B56" s="26" t="str">
        <x:v>Combinatul de Vinuri CRICOVA SA</x:v>
      </x:c>
      <x:c r="C56" s="28" t="str">
        <x:v>A</x:v>
      </x:c>
      <x:c r="D56" s="18" t="str">
        <x:v>Вино и крепкие напитки</x:v>
      </x:c>
      <x:c r="E56" s="18" t="str">
        <x:v>Cricova, Ungureanu 1</x:v>
      </x:c>
      <x:c r="F56" s="18" t="str">
        <x:v>APP: производство вина и игристых напитков; 372,83 млн MDL выручки, 551 работник в 2025 году.</x:v>
      </x:c>
      <x:c r="G56" s="18" t="str">
        <x:v>Переработка винограда, насосы, розлив и охлаждение на крупной площадке заслуживают проверки.</x:v>
      </x:c>
      <x:c r="H56" s="18" t="str">
        <x:v>Сезонный профиль и текущий порядок закупки; погребное хранение не приравнивать к активному холодильнику.</x:v>
      </x:c>
      <x:c r="I56" s="30" t="str">
        <x:v>https://app.gov.md/companies/combinatul-de-vinuri-cricova/</x:v>
      </x:c>
      <x:c r="J56" s="18" t="str">
        <x:v>Добавлено</x:v>
      </x:c>
    </x:row>
    <x:row r="57" ht="100" customHeight="1">
      <x:c r="A57" s="24" t="str">
        <x:v>E51</x:v>
      </x:c>
      <x:c r="B57" s="25" t="str">
        <x:v>BARZA ALBĂ SA</x:v>
      </x:c>
      <x:c r="C57" s="27" t="str">
        <x:v>B</x:v>
      </x:c>
      <x:c r="D57" s="24" t="str">
        <x:v>Вино и крепкие напитки</x:v>
      </x:c>
      <x:c r="E57" s="24" t="str">
        <x:v>Bălți, Victoriei 49</x:v>
      </x:c>
      <x:c r="F57" s="24" t="str">
        <x:v>APP описывает производство дивинов; выручка 2025 года около 89,12 млн MDL и 116 сотрудников.</x:v>
      </x:c>
      <x:c r="G57" s="24" t="str">
        <x:v>Производство и розлив значимого масштаба; электрическую часть следует отделить от тепла дистилляции.</x:v>
      </x:c>
      <x:c r="H57" s="24" t="str">
        <x:v>Какие участки работают ежедневно; топливо дистилляции, насосы, розлив, сезонность.</x:v>
      </x:c>
      <x:c r="I57" s="29" t="str">
        <x:v>https://app.gov.md/companies/barza-alba/</x:v>
      </x:c>
      <x:c r="J57" s="24" t="str">
        <x:v>Добавлено</x:v>
      </x:c>
    </x:row>
    <x:row r="58" ht="100" customHeight="1">
      <x:c r="A58" s="18" t="str">
        <x:v>E52</x:v>
      </x:c>
      <x:c r="B58" s="26" t="str">
        <x:v>Rusnac-MoldAqua / Aquatrade</x:v>
      </x:c>
      <x:c r="C58" s="28" t="str">
        <x:v>A</x:v>
      </x:c>
      <x:c r="D58" s="18" t="str">
        <x:v>Напитки и пивоварение</x:v>
      </x:c>
      <x:c r="E58" s="18" t="str">
        <x:v>Производственная площадка Rusnac — уточнить; контакт группы: Bălți, Aerodromului 14A</x:v>
      </x:c>
      <x:c r="F58" s="18" t="str">
        <x:v>Rusnac описывает линии Krones, подготовку воды и розлив напитков в PET; контроль производства 24/7.</x:v>
      </x:c>
      <x:c r="G58" s="18" t="str">
        <x:v>Розлив, насосы и сжатый воздух делают производителя воды и напитков перспективным кандидатом.</x:v>
      </x:c>
      <x:c r="H58" s="18" t="str">
        <x:v>Определить юрлицо завода и счётчик; не относить оборот дистрибуции Aquatrade целиком к производству.</x:v>
      </x:c>
      <x:c r="I58" s="30" t="str">
        <x:v>https://rusnac.md/ro/producere/
https://aquatrade.md/</x:v>
      </x:c>
      <x:c r="J58" s="18" t="str">
        <x:v>Добавлено</x:v>
      </x:c>
    </x:row>
    <x:row r="59" ht="100" customHeight="1">
      <x:c r="A59" s="24" t="str">
        <x:v>E53</x:v>
      </x:c>
      <x:c r="B59" s="25" t="str">
        <x:v>Château Vartely SRL</x:v>
      </x:c>
      <x:c r="C59" s="27" t="str">
        <x:v>A</x:v>
      </x:c>
      <x:c r="D59" s="24" t="str">
        <x:v>Вино и крепкие напитки</x:v>
      </x:c>
      <x:c r="E59" s="24" t="str">
        <x:v>Orhei, Eliberării 170/B; винодельня</x:v>
      </x:c>
      <x:c r="F59" s="24" t="str">
        <x:v>Официальные страницы описывают винодельню и публикуют отдельные контакты завода и центрального офиса.</x:v>
      </x:c>
      <x:c r="G59" s="24" t="str">
        <x:v>Переработка, насосы, охлаждение и розлив; гостиничная часть может добавлять отдельную нагрузку.</x:v>
      </x:c>
      <x:c r="H59" s="24" t="str">
        <x:v>Разделить винодельню и туризм; сезонный профиль и собственная генерация.</x:v>
      </x:c>
      <x:c r="I59" s="29" t="str">
        <x:v>https://vartely.md/vinaria/</x:v>
      </x:c>
      <x:c r="J59" s="24" t="str">
        <x:v>Добавлено</x:v>
      </x:c>
    </x:row>
    <x:row r="60" ht="100" customHeight="1">
      <x:c r="A60" s="18" t="str">
        <x:v>E54</x:v>
      </x:c>
      <x:c r="B60" s="26" t="str">
        <x:v>Castel Mimi</x:v>
      </x:c>
      <x:c r="C60" s="28" t="str">
        <x:v>B</x:v>
      </x:c>
      <x:c r="D60" s="18" t="str">
        <x:v>Вино и крепкие напитки</x:v>
      </x:c>
      <x:c r="E60" s="18" t="str">
        <x:v>Bulboaca, Dacia 1; винодельня и туристический комплекс</x:v>
      </x:c>
      <x:c r="F60" s="18" t="str">
        <x:v>Сайт представляет винодельню, отель и SPA; в публикации 2026 года компания сообщает об использовании солнечной энергии для отеля и SPA.</x:v>
      </x:c>
      <x:c r="G60" s="18" t="str">
        <x:v>Винодельня может иметь остаточный спрос, однако зелёная генерация снижает приоритет без разбивки по объектам.</x:v>
      </x:c>
      <x:c r="H60" s="18" t="str">
        <x:v>Получить покупки из сети по винодельне отдельно от отеля/SPA; установить юрлица и действующую генерацию.</x:v>
      </x:c>
      <x:c r="I60" s="30" t="str">
        <x:v>https://castelmimi.md/
https://castelmimi.md/events/cina-la-lumina-lumanarilor/</x:v>
      </x:c>
      <x:c r="J60" s="18" t="str">
        <x:v>Добавлено</x:v>
      </x:c>
    </x:row>
    <x:row r="61" ht="100" customHeight="1">
      <x:c r="A61" s="24" t="str">
        <x:v>E55</x:v>
      </x:c>
      <x:c r="B61" s="25" t="str">
        <x:v>ASCONI SRL</x:v>
      </x:c>
      <x:c r="C61" s="27" t="str">
        <x:v>A</x:v>
      </x:c>
      <x:c r="D61" s="24" t="str">
        <x:v>Вино и крепкие напитки</x:v>
      </x:c>
      <x:c r="E61" s="24" t="str">
        <x:v>Puhoi, Ialoveni</x:v>
      </x:c>
      <x:c r="F61" s="24" t="str">
        <x:v>Официальный сайт связывает винодельню, рестораны и гостевые дома с FCP ASCONI SRL, IDNO 1002601003166.</x:v>
      </x:c>
      <x:c r="G61" s="24" t="str">
        <x:v>Винодельческая площадка и гостиничные услуги дают несколько постоянных и сезонных электрических нагрузок.</x:v>
      </x:c>
      <x:c r="H61" s="24" t="str">
        <x:v>Разделить производство и гостевые объекты, уточнить холод, розлив, солнечную генерацию и сезон.</x:v>
      </x:c>
      <x:c r="I61" s="29" t="str">
        <x:v>https://asconiwinery.com/ro/</x:v>
      </x:c>
      <x:c r="J61" s="24" t="str">
        <x:v>Добавлено</x:v>
      </x:c>
    </x:row>
    <x:row r="62" ht="100" customHeight="1">
      <x:c r="A62" s="18" t="str">
        <x:v>E56</x:v>
      </x:c>
      <x:c r="B62" s="26" t="str">
        <x:v>VINĂRIA PURCARI SRL</x:v>
      </x:c>
      <x:c r="C62" s="28" t="str">
        <x:v>S</x:v>
      </x:c>
      <x:c r="D62" s="18" t="str">
        <x:v>Вино и крепкие напитки</x:v>
      </x:c>
      <x:c r="E62" s="18" t="str">
        <x:v>Purcari; офис группы Chișinău, Calea Ieșilor 8</x:v>
      </x:c>
      <x:c r="F62" s="18" t="str">
        <x:v>Винодельня входит в Purcari Wineries. SiriusB2B: выручка местного юрлица 711,60 млн MDL за 2025 год, 265 сотрудников.</x:v>
      </x:c>
      <x:c r="G62" s="18" t="str">
        <x:v>Крупная винодельня — перспективный потребитель; закупки могут согласовываться на уровне группы.</x:v>
      </x:c>
      <x:c r="H62" s="18" t="str">
        <x:v>Установить местного держателя договора, сезонность и генерацию; не заменять выручку юрлица консолидированной выручкой группы.</x:v>
      </x:c>
      <x:c r="I62" s="30" t="str">
        <x:v>https://purcariwineries.com/contacte/
https://valulluitraian.com/vinaria-purcari/
https://siriusb2b.md/1003600072948/im-vinaria-purcari-srl</x:v>
      </x:c>
      <x:c r="J62" s="18" t="str">
        <x:v>Добавлено</x:v>
      </x:c>
    </x:row>
    <x:row r="63" ht="100" customHeight="1">
      <x:c r="A63" s="24" t="str">
        <x:v>E57</x:v>
      </x:c>
      <x:c r="B63" s="25" t="str">
        <x:v>Südzucker Moldova</x:v>
      </x:c>
      <x:c r="C63" s="27" t="str">
        <x:v>S</x:v>
      </x:c>
      <x:c r="D63" s="24" t="str">
        <x:v>Сахар и агропереработка</x:v>
      </x:c>
      <x:c r="E63" s="24" t="str">
        <x:v>Drochia, 27 August 1; основной завод</x:v>
      </x:c>
      <x:c r="F63" s="24" t="str">
        <x:v>Сайт указывает сахарный завод в Drochia, логистические центры и собственную биогазовую установку.</x:v>
      </x:c>
      <x:c r="G63" s="24" t="str">
        <x:v>Крупная переработка, насосы и электроприводы; сезонность и собственная энергия требуют отдельного расчёта остаточного спроса.</x:v>
      </x:c>
      <x:c r="H63" s="24" t="str">
        <x:v>Сколько электричества покупается во время кампании и вне её; что покрывает биогаз; кто закупает.</x:v>
      </x:c>
      <x:c r="I63" s="29" t="str">
        <x:v>https://suedzucker.md/ro</x:v>
      </x:c>
      <x:c r="J63" s="24" t="str">
        <x:v>Добавлено</x:v>
      </x:c>
    </x:row>
    <x:row r="64" ht="100" customHeight="1">
      <x:c r="A64" s="18" t="str">
        <x:v>E58</x:v>
      </x:c>
      <x:c r="B64" s="26" t="str">
        <x:v>VEFASISTEM-COMPANIE SRL</x:v>
      </x:c>
      <x:c r="C64" s="28" t="str">
        <x:v>A</x:v>
      </x:c>
      <x:c r="D64" s="18" t="str">
        <x:v>Окна и фасады</x:v>
      </x:c>
      <x:c r="E64" s="18" t="str">
        <x:v>Bălți, Kiev 114/A; адрес юрлица</x:v>
      </x:c>
      <x:c r="F64" s="18" t="str">
        <x:v>Сайт заявляет выпуск окон PVC/алюминий свыше 1 000 м²/день. Выручка 2025 года 277,60 млн MDL и 146 сотрудников по indice.md.</x:v>
      </x:c>
      <x:c r="G64" s="18" t="str">
        <x:v>Серийное производство, резка, сварка PVC, сжатый воздух и сборочные линии — хороший сигнал.</x:v>
      </x:c>
      <x:c r="H64" s="18" t="str">
        <x:v>Загрузка фабрики, смены, какие операции собственные; наличие стеклообработки отдельно подтвердить.</x:v>
      </x:c>
      <x:c r="I64" s="30" t="str">
        <x:v>https://vefasistem.md/centrul-de-productie/
https://indice.md/company/292261/</x:v>
      </x:c>
      <x:c r="J64" s="18" t="str">
        <x:v>Добавлено</x:v>
      </x:c>
    </x:row>
    <x:row r="65" ht="100" customHeight="1">
      <x:c r="A65" s="24" t="str">
        <x:v>E59</x:v>
      </x:c>
      <x:c r="B65" s="25" t="str">
        <x:v>MEMILIT SRL</x:v>
      </x:c>
      <x:c r="C65" s="27" t="str">
        <x:v>B</x:v>
      </x:c>
      <x:c r="D65" s="24" t="str">
        <x:v>Бетон и тротуарная плитка</x:v>
      </x:c>
      <x:c r="E65" s="24" t="str">
        <x:v>Chișinău, Industrială 65; контактный адрес</x:v>
      </x:c>
      <x:c r="F65" s="24" t="str">
        <x:v>Сайт описывает производство вибропрессованной и вибролитой плитки, бордюров и блоков; упоминает технологическую линию.</x:v>
      </x:c>
      <x:c r="G65" s="24" t="str">
        <x:v>Смесители, вибропрессы и транспортёры создают существенную нагрузку при серийной работе.</x:v>
      </x:c>
      <x:c r="H65" s="24" t="str">
        <x:v>Площадка производства, выпуск за смену, число рабочих дней и сезонный минимум.</x:v>
      </x:c>
      <x:c r="I65" s="29" t="str">
        <x:v>https://pavaj.md/</x:v>
      </x:c>
      <x:c r="J65" s="24" t="str">
        <x:v>Добавлено</x:v>
      </x:c>
    </x:row>
    <x:row r="66" ht="100" customHeight="1">
      <x:c r="A66" s="18" t="str">
        <x:v>E60</x:v>
      </x:c>
      <x:c r="B66" s="26" t="str">
        <x:v>PETSIMPLAST SRL</x:v>
      </x:c>
      <x:c r="C66" s="28" t="str">
        <x:v>B</x:v>
      </x:c>
      <x:c r="D66" s="18" t="str">
        <x:v>Бетон и тротуарная плитка</x:v>
      </x:c>
      <x:c r="E66" s="18" t="str">
        <x:v>Молдова; адрес производственного объекта уточнить</x:v>
      </x:c>
      <x:c r="F66" s="18" t="str">
        <x:v>Компания описывает производство плитки и бетонных элементов на собственной странице контактов.</x:v>
      </x:c>
      <x:c r="G66" s="18" t="str">
        <x:v>Предполагаемая нагрузка от смешивания и формования; масштаб пока недостаточно определён.</x:v>
      </x:c>
      <x:c r="H66" s="18" t="str">
        <x:v>Уточнить оборудование, объём выпуска, сезонность и адрес счётчика до перевода в первую очередь.</x:v>
      </x:c>
      <x:c r="I66" s="30" t="str">
        <x:v>https://petsimplast.md/contact-us/</x:v>
      </x:c>
      <x:c r="J66" s="18" t="str">
        <x:v>Добавлено</x:v>
      </x:c>
    </x:row>
    <x:row r="67" ht="100" customHeight="1">
      <x:c r="A67" s="24" t="str">
        <x:v>E61</x:v>
      </x:c>
      <x:c r="B67" s="25" t="str">
        <x:v>BORICOM SRL</x:v>
      </x:c>
      <x:c r="C67" s="27" t="str">
        <x:v>B</x:v>
      </x:c>
      <x:c r="D67" s="24" t="str">
        <x:v>Обработка камня</x:v>
      </x:c>
      <x:c r="E67" s="24" t="str">
        <x:v>Vatra, Pietrăriei 2/3; промышленная зона</x:v>
      </x:c>
      <x:c r="F67" s="24" t="str">
        <x:v>Официальный сайт описывает обработку и изготовление изделий из натурального камня.</x:v>
      </x:c>
      <x:c r="G67" s="24" t="str">
        <x:v>Резка, полировка и водяные насосы могут дать нужный объём при регулярной загрузке.</x:v>
      </x:c>
      <x:c r="H67" s="24" t="str">
        <x:v>Количество станков, их часы работы, собственное производство или часть заказов на стороне.</x:v>
      </x:c>
      <x:c r="I67" s="29" t="str">
        <x:v>https://boricom.md/ro/</x:v>
      </x:c>
      <x:c r="J67" s="24" t="str">
        <x:v>Добавлено</x:v>
      </x:c>
    </x:row>
    <x:row r="68" ht="100" customHeight="1">
      <x:c r="A68" s="18" t="str">
        <x:v>E62</x:v>
      </x:c>
      <x:c r="B68" s="26" t="str">
        <x:v>DELTAGRAN</x:v>
      </x:c>
      <x:c r="C68" s="28" t="str">
        <x:v>B</x:v>
      </x:c>
      <x:c r="D68" s="18" t="str">
        <x:v>Обработка камня</x:v>
      </x:c>
      <x:c r="E68" s="18" t="str">
        <x:v>Chișinău; точную производственную площадку уточнить</x:v>
      </x:c>
      <x:c r="F68" s="18" t="str">
        <x:v>Сайт описывает изготовление, продажу и установку изделий из гранита, мрамора и другого камня.</x:v>
      </x:c>
      <x:c r="G68" s="18" t="str">
        <x:v>Электроприводы обработки камня потенциально подходят; нужно установить долю собственного изготовления.</x:v>
      </x:c>
      <x:c r="H68" s="18" t="str">
        <x:v>Собственная резка/полировка, станки, сменность; юридическое лицо и плательщик.</x:v>
      </x:c>
      <x:c r="I68" s="30" t="str">
        <x:v>https://deltagran.md/</x:v>
      </x:c>
      <x:c r="J68" s="18" t="str">
        <x:v>Добавлено</x:v>
      </x:c>
    </x:row>
    <x:row r="69" ht="100" customHeight="1">
      <x:c r="A69" s="24" t="str">
        <x:v>E63</x:v>
      </x:c>
      <x:c r="B69" s="25" t="str">
        <x:v>ÎS Fabrica de Sticlă din Chișinău</x:v>
      </x:c>
      <x:c r="C69" s="27" t="str">
        <x:v>S</x:v>
      </x:c>
      <x:c r="D69" s="24" t="str">
        <x:v>Стройматериалы и стекло</x:v>
      </x:c>
      <x:c r="E69" s="24" t="str">
        <x:v>Chișinău, Transnistria 20</x:v>
      </x:c>
      <x:c r="F69" s="24" t="str">
        <x:v>APP: завод стеклянной упаковки, выручка 2025 года 404,65 млн MDL, 350 работников; IDNO 1002600008924.</x:v>
      </x:c>
      <x:c r="G69" s="24" t="str">
        <x:v>Крупный завод с электроприводами, сжатым воздухом и формованием; отдельная компания от Vetropack.</x:v>
      </x:c>
      <x:c r="H69" s="24" t="str">
        <x:v>Действующие линии, разделение газа и электричества, солнечные проекты, процедура закупки.</x:v>
      </x:c>
      <x:c r="I69" s="29" t="str">
        <x:v>https://app.gov.md/companies/fabrica-de-sticla-din-chisinau/</x:v>
      </x:c>
      <x:c r="J69" s="24" t="str">
        <x:v>Добавлено</x:v>
      </x:c>
    </x:row>
    <x:row r="70" ht="100" customHeight="1">
      <x:c r="A70" s="18" t="str">
        <x:v>E64</x:v>
      </x:c>
      <x:c r="B70" s="26" t="str">
        <x:v>VIORICA-COSMETIC SA</x:v>
      </x:c>
      <x:c r="C70" s="28" t="str">
        <x:v>A</x:v>
      </x:c>
      <x:c r="D70" s="18" t="str">
        <x:v>Косметика и бытовая химия</x:v>
      </x:c>
      <x:c r="E70" s="18" t="str">
        <x:v>Chișinău, Mesager 1</x:v>
      </x:c>
      <x:c r="F70" s="18" t="str">
        <x:v>Сайт компании публикует реквизиты производителя; справочник: 211,33 млн MDL выручки и 229 сотрудников в 2025 году, производство косметики/моющих средств.</x:v>
      </x:c>
      <x:c r="G70" s="18" t="str">
        <x:v>Приготовление смесей, фасовка, водоподготовка и вентиляция — дополнительные промышленные потребители.</x:v>
      </x:c>
      <x:c r="H70" s="18" t="str">
        <x:v>Какие линии действуют, тип нагрева, охлаждение и генерация; счётчик производства отдельно от магазинов.</x:v>
      </x:c>
      <x:c r="I70" s="30" t="str">
        <x:v>https://viorica.md/pages/contact
https://indice.md/company/224577/</x:v>
      </x:c>
      <x:c r="J70" s="18" t="str">
        <x:v>Добавлено</x:v>
      </x:c>
    </x:row>
    <x:row r="71" ht="100" customHeight="1">
      <x:c r="A71" s="24" t="str">
        <x:v>E65</x:v>
      </x:c>
      <x:c r="B71" s="25" t="str">
        <x:v>Balkan Pharmaceuticals SRL</x:v>
      </x:c>
      <x:c r="C71" s="27" t="str">
        <x:v>A</x:v>
      </x:c>
      <x:c r="D71" s="24" t="str">
        <x:v>Фармацевтика</x:v>
      </x:c>
      <x:c r="E71" s="24" t="str">
        <x:v>Sîngera, Industrială 7A</x:v>
      </x:c>
      <x:c r="F71" s="24" t="str">
        <x:v>Официальная страница указывает фармацевтическую фабрику в Sîngera и телефон офиса/бухгалтерии.</x:v>
      </x:c>
      <x:c r="G71" s="24" t="str">
        <x:v>Фармацевтические процессы, вентиляция и подготовка сред дают основания проверять регулярную нагрузку.</x:v>
      </x:c>
      <x:c r="H71" s="24" t="str">
        <x:v>Текущая загрузка, вентиляция чистых помещений, холод, стерилизация и собственная генерация.</x:v>
      </x:c>
      <x:c r="I71" s="29" t="str">
        <x:v>https://balkanpharmaceuticals.com/ro/contacte.html</x:v>
      </x:c>
      <x:c r="J71" s="24" t="str">
        <x:v>Добавлено</x:v>
      </x:c>
    </x:row>
    <x:row r="72" ht="100" customHeight="1">
      <x:c r="A72" s="18" t="str">
        <x:v>E66</x:v>
      </x:c>
      <x:c r="B72" s="26" t="str">
        <x:v>Eurofarmaco SA</x:v>
      </x:c>
      <x:c r="C72" s="28" t="str">
        <x:v>A</x:v>
      </x:c>
      <x:c r="D72" s="18" t="str">
        <x:v>Фармацевтика</x:v>
      </x:c>
      <x:c r="E72" s="18" t="str">
        <x:v>Sociteni, Ialoveni, șos. Chișinău–Hîncești 10</x:v>
      </x:c>
      <x:c r="F72" s="18" t="str">
        <x:v>Реестр EudraGMDP публикует сертификат производителя 033/2025/RO и адрес площадки Eurofarmaco.</x:v>
      </x:c>
      <x:c r="G72" s="18" t="str">
        <x:v>Производство лекарств с контролируемой средой и оборудованием — сильный отраслевой сигнал.</x:v>
      </x:c>
      <x:c r="H72" s="18" t="str">
        <x:v>Подтвердить актуальный офисный контакт; площадь чистых помещений, часы работы и сетевые покупки.</x:v>
      </x:c>
      <x:c r="I72" s="30" t="str">
        <x:v>https://eudragmdp.ema.europa.eu/inspections/gmpc/prepReviewSubmittedGMPC.do?key=183372</x:v>
      </x:c>
      <x:c r="J72" s="18" t="str">
        <x:v>Добавлено</x:v>
      </x:c>
    </x:row>
    <x:row r="73" ht="100" customHeight="1">
      <x:c r="A73" s="24" t="str">
        <x:v>E67</x:v>
      </x:c>
      <x:c r="B73" s="25" t="str">
        <x:v>Fabrica de Confecții IONEL SA</x:v>
      </x:c>
      <x:c r="C73" s="27" t="str">
        <x:v>A</x:v>
      </x:c>
      <x:c r="D73" s="24" t="str">
        <x:v>Текстиль и одежда</x:v>
      </x:c>
      <x:c r="E73" s="24" t="str">
        <x:v>Chișinău, Bulgară 47</x:v>
      </x:c>
      <x:c r="F73" s="24" t="str">
        <x:v>В собственном объявлении 2023 года фабрика закупает швейные автоматы. Отраслевой рейтинг indice.md: выручка 2025 года 42,04 млн MDL.</x:v>
      </x:c>
      <x:c r="G73" s="24" t="str">
        <x:v>Фабричный пошив, утюжильные процессы и вентиляция; нагрузка зависит от того, как вырабатывается пар.</x:v>
      </x:c>
      <x:c r="H73" s="24" t="str">
        <x:v>Смены, утюжильный участок, электрический/газовый пар и действующий состав площадок.</x:v>
      </x:c>
      <x:c r="I73" s="29" t="str">
        <x:v>https://ionel.md/anunt-de-participare/
https://indice.md/company/244095/</x:v>
      </x:c>
      <x:c r="J73" s="24" t="str">
        <x:v>Добавлено</x:v>
      </x:c>
    </x:row>
    <x:row r="74" ht="100" customHeight="1">
      <x:c r="A74" s="18" t="str">
        <x:v>E68</x:v>
      </x:c>
      <x:c r="B74" s="26" t="str">
        <x:v>TRICON SA</x:v>
      </x:c>
      <x:c r="C74" s="28" t="str">
        <x:v>A</x:v>
      </x:c>
      <x:c r="D74" s="18" t="str">
        <x:v>Текстиль и одежда</x:v>
      </x:c>
      <x:c r="E74" s="18" t="str">
        <x:v>Cahul, Ștefan cel Mare 20</x:v>
      </x:c>
      <x:c r="F74" s="18" t="str">
        <x:v>Каталог производителя описывает пошив и трикотаж; отраслевой рейтинг indice.md: выручка 2025 года 41,86 млн MDL.</x:v>
      </x:c>
      <x:c r="G74" s="18" t="str">
        <x:v>Пошив и вязальное оборудование, отделка и вентиляция подходят для квалификации среднего предприятия.</x:v>
      </x:c>
      <x:c r="H74" s="18" t="str">
        <x:v>Действующие вязальные линии, сменность и источник тепла; подтвердить телефон.</x:v>
      </x:c>
      <x:c r="I74" s="30" t="str">
        <x:v>https://madein.md/tricon
https://indice.md/company/244095/</x:v>
      </x:c>
      <x:c r="J74" s="18" t="str">
        <x:v>Добавлено</x:v>
      </x:c>
    </x:row>
    <x:row r="75" ht="100" customHeight="1">
      <x:c r="A75" s="24" t="str">
        <x:v>E69</x:v>
      </x:c>
      <x:c r="B75" s="25" t="str">
        <x:v>GG Cables &amp; Wires EE SRL</x:v>
      </x:c>
      <x:c r="C75" s="27" t="str">
        <x:v>S</x:v>
      </x:c>
      <x:c r="D75" s="24" t="str">
        <x:v>Автокомпоненты и кабели</x:v>
      </x:c>
      <x:c r="E75" s="24" t="str">
        <x:v>Bălți, Industriala 4 / Aerodromului 1</x:v>
      </x:c>
      <x:c r="F75" s="24" t="str">
        <x:v>Официальная страница группы: молдавские заводы кабелей/жгутов, суммарно 30 600 м² и примерно 1 050 работников.</x:v>
      </x:c>
      <x:c r="G75" s="24" t="str">
        <x:v>Масштаб заводов, смены, производственные линии и вентиляция создают сильный сигнал; закупки могут быть централизованы.</x:v>
      </x:c>
      <x:c r="H75" s="24" t="str">
        <x:v>Текущий состав площадок, местный бюджет закупок, требования группы к происхождению энергии.</x:v>
      </x:c>
      <x:c r="I75" s="29" t="str">
        <x:v>https://www.gg-group.com/en/company/locations/emea</x:v>
      </x:c>
      <x:c r="J75" s="24" t="str">
        <x:v>Добавлено</x:v>
      </x:c>
    </x:row>
    <x:row r="76" ht="100" customHeight="1">
      <x:c r="A76" s="18" t="str">
        <x:v>E70</x:v>
      </x:c>
      <x:c r="B76" s="26" t="str">
        <x:v>DRÄXLMAIER Moldova</x:v>
      </x:c>
      <x:c r="C76" s="28" t="str">
        <x:v>S</x:v>
      </x:c>
      <x:c r="D76" s="18" t="str">
        <x:v>Автокомпоненты и кабели</x:v>
      </x:c>
      <x:c r="E76" s="18" t="str">
        <x:v>Bălți / Cahul; Bălți, Dovator 86 — контактный адрес</x:v>
      </x:c>
      <x:c r="F76" s="18" t="str">
        <x:v>Официальная страница подразделения описывает молдавские заводы кабельных жгутов и автомобильных электрических систем.</x:v>
      </x:c>
      <x:c r="G76" s="18" t="str">
        <x:v>Крупные производственные площадки подходят по масштабу; закупки и требования к энергии определяет группа.</x:v>
      </x:c>
      <x:c r="H76" s="18" t="str">
        <x:v>Какие площадки и линии работают сейчас, кто ведёт закупку электроэнергии; контакт imprint не является отделом закупок.</x:v>
      </x:c>
      <x:c r="I76" s="30" t="str">
        <x:v>https://www.draexlmaier.com/md/draexlmaier-in-moldova</x:v>
      </x:c>
      <x:c r="J76" s="18" t="str">
        <x:v>Добавлено</x:v>
      </x:c>
    </x:row>
    <x:row r="77" ht="100" customHeight="1">
      <x:c r="A77" s="24" t="str">
        <x:v>E71</x:v>
      </x:c>
      <x:c r="B77" s="25" t="str">
        <x:v>Laverin Group</x:v>
      </x:c>
      <x:c r="C77" s="27" t="str">
        <x:v>B</x:v>
      </x:c>
      <x:c r="D77" s="24" t="str">
        <x:v>Промышленные прачечные</x:v>
      </x:c>
      <x:c r="E77" s="24" t="str">
        <x:v>Chișinău; адрес цеха уточнить</x:v>
      </x:c>
      <x:c r="F77" s="24" t="str">
        <x:v>Собственный сайт предлагает профессиональную стирку гостиничного и ресторанного текстиля и показывает промышленные машины.</x:v>
      </x:c>
      <x:c r="G77" s="24" t="str">
        <x:v>Стирка, сушка и глажение могут пройти порог при загрузке B2B; тепловая часть может работать на газе.</x:v>
      </x:c>
      <x:c r="H77" s="24" t="str">
        <x:v>Килограммы белья в сутки, тип нагрева/сушилок, работа в выходные, юрлицо и отдельный счётчик.</x:v>
      </x:c>
      <x:c r="I77" s="29" t="str">
        <x:v>https://laverin-group.com/</x:v>
      </x:c>
      <x:c r="J77" s="24" t="str">
        <x:v>Добавлено</x:v>
      </x:c>
    </x:row>
    <x:row r="78" ht="100" customHeight="1">
      <x:c r="A78" s="18" t="str">
        <x:v>E72</x:v>
      </x:c>
      <x:c r="B78" s="26" t="str">
        <x:v>Wash &amp; Dry</x:v>
      </x:c>
      <x:c r="C78" s="28" t="str">
        <x:v>B</x:v>
      </x:c>
      <x:c r="D78" s="18" t="str">
        <x:v>Промышленные прачечные</x:v>
      </x:c>
      <x:c r="E78" s="18" t="str">
        <x:v>Офис: Chișinău, Independenței 40, biroul 205; цех уточнить</x:v>
      </x:c>
      <x:c r="F78" s="18" t="str">
        <x:v>Официальный сайт предлагает профессиональную прачечную для гостиниц и публикует контакты офиса и директора.</x:v>
      </x:c>
      <x:c r="G78" s="18" t="str">
        <x:v>Промышленная стирка и сушка — перспективная средняя нагрузка при достаточном объёме белья.</x:v>
      </x:c>
      <x:c r="H78" s="18" t="str">
        <x:v>Объём белья, количество машин, электрическая доля сушки/нагрева; договор на цех.</x:v>
      </x:c>
      <x:c r="I78" s="30" t="str">
        <x:v>https://washdry.md/</x:v>
      </x:c>
      <x:c r="J78" s="18" t="str">
        <x:v>Добавлено</x:v>
      </x:c>
    </x:row>
    <x:row r="79" ht="100" customHeight="1">
      <x:c r="A79" s="24" t="str">
        <x:v>E73</x:v>
      </x:c>
      <x:c r="B79" s="25" t="str">
        <x:v>ABS Recycling</x:v>
      </x:c>
      <x:c r="C79" s="27" t="str">
        <x:v>A</x:v>
      </x:c>
      <x:c r="D79" s="24" t="str">
        <x:v>Переработка отходов</x:v>
      </x:c>
      <x:c r="E79" s="24" t="str">
        <x:v>Peresecina, Orhei — фабрика переработки по сайту; сортировочную площадку уточнить</x:v>
      </x:c>
      <x:c r="F79" s="24" t="str">
        <x:v>Компания описывает сортировочный завод, переработку пластика и изготовление контейнеров; публикует адрес фабрики в Peresecina.</x:v>
      </x:c>
      <x:c r="G79" s="24" t="str">
        <x:v>Сортировка, дробление и переработка пластика предполагают электроприводы и возможную работу в смены.</x:v>
      </x:c>
      <x:c r="H79" s="24" t="str">
        <x:v>Разделить сортировку и переработку, подтвердить действующие линии, юридического плательщика и остаточный спрос.</x:v>
      </x:c>
      <x:c r="I79" s="29" t="str">
        <x:v>https://abs.md/</x:v>
      </x:c>
      <x:c r="J79" s="24" t="str">
        <x:v>Добавлено</x:v>
      </x:c>
    </x:row>
    <x:row r="80" ht="100" customHeight="1">
      <x:c r="A80" s="18" t="str">
        <x:v>E74</x:v>
      </x:c>
      <x:c r="B80" s="26" t="str">
        <x:v>Aquaterra</x:v>
      </x:c>
      <x:c r="C80" s="28" t="str">
        <x:v>A</x:v>
      </x:c>
      <x:c r="D80" s="18" t="str">
        <x:v>Бассейны и спортивные комплексы</x:v>
      </x:c>
      <x:c r="E80" s="18" t="str">
        <x:v>Chișinău; несколько клубов, включая G. Latina 12/5 и Decebal 6/4</x:v>
      </x:c>
      <x:c r="F80" s="18" t="str">
        <x:v>Официальный сайт представляет сеть клубов с бассейнами и длительным ежедневным режимом работы.</x:v>
      </x:c>
      <x:c r="G80" s="18" t="str">
        <x:v>Насосы, водоподготовка, осушение и вентиляция дают постоянную нагрузку, включая выходные.</x:v>
      </x:c>
      <x:c r="H80" s="18" t="str">
        <x:v>Выбрать клубы с бассейнами; юрлица, электроподогрев или другое тепло, индивидуальные счётчики.</x:v>
      </x:c>
      <x:c r="I80" s="30" t="str">
        <x:v>https://aquaterra.md/ro</x:v>
      </x:c>
      <x:c r="J80" s="18" t="str">
        <x:v>Добавлено</x:v>
      </x:c>
    </x:row>
    <x:row r="81" ht="100" customHeight="1">
      <x:c r="A81" s="24" t="str">
        <x:v>E75</x:v>
      </x:c>
      <x:c r="B81" s="25" t="str">
        <x:v>Medpark</x:v>
      </x:c>
      <x:c r="C81" s="27" t="str">
        <x:v>B</x:v>
      </x:c>
      <x:c r="D81" s="24" t="str">
        <x:v>Частные медицинские учреждения</x:v>
      </x:c>
      <x:c r="E81" s="24" t="str">
        <x:v>Chișinău; конкретную площадку и плательщика уточнить</x:v>
      </x:c>
      <x:c r="F81" s="24" t="str">
        <x:v>Официальные поисковые результаты описывают многопрофильный госпиталь, более 250 врачей и круглосуточную экстренную помощь; полное чтение сайта блокируется.</x:v>
      </x:c>
      <x:c r="G81" s="24" t="str">
        <x:v>Круглосуточный стационар, диагностика и вентиляция — сильный отраслевой сигнал; операционные данные ещё актуализировать.</x:v>
      </x:c>
      <x:c r="H81" s="24" t="str">
        <x:v>Административный контакт вместо пациентской линии, число объектов, режимы оборудования и энергоснабжения.</x:v>
      </x:c>
      <x:c r="I81" s="29" t="str">
        <x:v>https://www.medpark.md/cine-suntem/
https://www.medpark.md/services/medicina-urgenta-pediatrica/</x:v>
      </x:c>
      <x:c r="J81" s="24" t="str">
        <x:v>Добавлено</x:v>
      </x:c>
    </x:row>
    <x:row r="82" ht="100" customHeight="1">
      <x:c r="A82" s="18" t="str">
        <x:v>E77</x:v>
      </x:c>
      <x:c r="B82" s="26" t="str">
        <x:v>BERD'S Hotel</x:v>
      </x:c>
      <x:c r="C82" s="28" t="str">
        <x:v>B</x:v>
      </x:c>
      <x:c r="D82" s="18" t="str">
        <x:v>Гостиницы и SPA</x:v>
      </x:c>
      <x:c r="E82" s="18" t="str">
        <x:v>Chișinău, Dimitrie Cantemir 12</x:v>
      </x:c>
      <x:c r="F82" s="18" t="str">
        <x:v>Официальный сайт описывает отель, ресторан, SPA и обслуживание номеров 24/7.</x:v>
      </x:c>
      <x:c r="G82" s="18" t="str">
        <x:v>Вентиляция, охлаждение, кухня и SPA могут обеспечивать нужный бюджет; загрузка гостиницы существенна.</x:v>
      </x:c>
      <x:c r="H82" s="18" t="str">
        <x:v>Юрлицо, плательщик, загрузка, собственная прачечная или подрядчик, тепло и электричество отдельно.</x:v>
      </x:c>
      <x:c r="I82" s="30" t="str">
        <x:v>https://berdshotel.com/en/about-us/</x:v>
      </x:c>
      <x:c r="J82" s="18" t="str">
        <x:v>Добавлено</x:v>
      </x:c>
    </x:row>
    <x:row r="83" ht="100" customHeight="1">
      <x:c r="A83" s="24" t="str">
        <x:v>E78</x:v>
      </x:c>
      <x:c r="B83" s="25" t="str">
        <x:v>METRO Cash &amp; Carry Moldova SRL</x:v>
      </x:c>
      <x:c r="C83" s="27" t="str">
        <x:v>S</x:v>
      </x:c>
      <x:c r="D83" s="24" t="str">
        <x:v>Продуктовые сети и опт</x:v>
      </x:c>
      <x:c r="E83" s="24" t="str">
        <x:v>Stăuceni, Chișinău 5; Chișinău, Dacia 61; Bălți, N. Iorga 9</x:v>
      </x:c>
      <x:c r="F83" s="24" t="str">
        <x:v>Официальная страница указывает 3 торговые площадки и центральный офис METRO в Молдове.</x:v>
      </x:c>
      <x:c r="G83" s="24" t="str">
        <x:v>Холодильные зоны, торговые площади и длительный режим работы делают крупный продуктовый опт перспективным.</x:v>
      </x:c>
      <x:c r="H83" s="24" t="str">
        <x:v>Централизованные закупки, договоры по площадкам, холодильная часть, солнечные установки.</x:v>
      </x:c>
      <x:c r="I83" s="29" t="str">
        <x:v>https://www.metro.md/contacte-metro</x:v>
      </x:c>
      <x:c r="J83" s="24" t="str">
        <x:v>Добавлено</x:v>
      </x:c>
    </x:row>
    <x:row r="84" ht="100" customHeight="1">
      <x:c r="A84" s="18" t="str">
        <x:v>E79</x:v>
      </x:c>
      <x:c r="B84" s="26" t="str">
        <x:v>MOLDRETAIL GROUP SRL / Linella</x:v>
      </x:c>
      <x:c r="C84" s="28" t="str">
        <x:v>S</x:v>
      </x:c>
      <x:c r="D84" s="18" t="str">
        <x:v>Продуктовые сети и опт</x:v>
      </x:c>
      <x:c r="E84" s="18" t="str">
        <x:v>Chișinău, Muncești 121; юридический адрес; сеть по стране</x:v>
      </x:c>
      <x:c r="F84" s="18" t="str">
        <x:v>Официальный сайт связывает сеть Linella с MOLDRETAIL GROUP SRL, IDNO 1010600022460.</x:v>
      </x:c>
      <x:c r="G84" s="18" t="str">
        <x:v>Сеть продуктовых магазинов имеет холод, вентиляцию и освещение; портфель объектов может быть ценнее отдельного магазина.</x:v>
      </x:c>
      <x:c r="H84" s="18" t="str">
        <x:v>Кто закупает электроэнергию для магазинов, складов и собственного производства; отдельные юридические лица и аренда.</x:v>
      </x:c>
      <x:c r="I84" s="30" t="str">
        <x:v>https://linella.md/ro/contacte</x:v>
      </x:c>
      <x:c r="J84" s="18" t="str">
        <x:v>Добавлено</x:v>
      </x:c>
    </x:row>
    <x:row r="85" ht="100" customHeight="1">
      <x:c r="A85" s="24" t="str">
        <x:v>E80</x:v>
      </x:c>
      <x:c r="B85" s="25" t="str">
        <x:v>IUVAS SRL</x:v>
      </x:c>
      <x:c r="C85" s="27" t="str">
        <x:v>A</x:v>
      </x:c>
      <x:c r="D85" s="24" t="str">
        <x:v>Текстиль и одежда</x:v>
      </x:c>
      <x:c r="E85" s="24" t="str">
        <x:v>Chișinău, Meșterul Manole 9</x:v>
      </x:c>
      <x:c r="F85" s="24" t="str">
        <x:v>Сайт описывает производство трикотажной одежды; IDNO 1003600045603. Отраслевой рейтинг indice.md: выручка 170,69 млн MDL за 2025 год.</x:v>
      </x:c>
      <x:c r="G85" s="24" t="str">
        <x:v>Производство одежды такого масштаба подходит для отбора; уточнять вязание, отделку и утюжильные процессы.</x:v>
      </x:c>
      <x:c r="H85" s="24" t="str">
        <x:v>Какие процессы собственные и где выполняются; источник пара, сменность, собственная генерация.</x:v>
      </x:c>
      <x:c r="I85" s="29" t="str">
        <x:v>https://iuvas.com/contacte/
https://indice.md/company/244095/</x:v>
      </x:c>
      <x:c r="J85" s="24" t="str">
        <x:v>Добавлено</x:v>
      </x:c>
    </x:row>
    <x:row r="86" ht="100" customHeight="1">
      <x:c r="A86" s="18" t="str">
        <x:v>E81</x:v>
      </x:c>
      <x:c r="B86" s="26" t="str">
        <x:v>MOLLTEX GROUP SRL</x:v>
      </x:c>
      <x:c r="C86" s="28" t="str">
        <x:v>A</x:v>
      </x:c>
      <x:c r="D86" s="18" t="str">
        <x:v>Текстиль и одежда</x:v>
      </x:c>
      <x:c r="E86" s="18" t="str">
        <x:v>Bălți, Decebal 13; площадка по вакансии работодателя</x:v>
      </x:c>
      <x:c r="F86" s="18" t="str">
        <x:v>Вакансии октября 2026 года описывают фабрику, швейное оборудование и наполнение пухом, работу в смены. Рейтинг indice.md: 236,71 млн MDL выручки за 2025 год.</x:v>
      </x:c>
      <x:c r="G86" s="18" t="str">
        <x:v>Сменное фабричное производство и заметный оборот — сильнее, чем одно упоминание торговли одеждой.</x:v>
      </x:c>
      <x:c r="H86" s="18" t="str">
        <x:v>Получить контакт администрации/главного инженера; не направлять коммерческое предложение в HR без маршрутизации.</x:v>
      </x:c>
      <x:c r="I86" s="30" t="str">
        <x:v>https://nord.rabota.md/ro/locuri-de-munca/operator-operatoare-la-masini-si-utilaje-pentru-industria-confectiilor-utilaj-de-umplere-cu-puf/75203
https://indice.md/company/244095/</x:v>
      </x:c>
      <x:c r="J86" s="18" t="str">
        <x:v>Добавлено</x:v>
      </x:c>
    </x:row>
  </x:sheetData>
  <x:conditionalFormatting sqref="C7:C86">
    <x:cfRule type="containsText" dxfId="0" priority="1" operator="containsText" text="A"/>
    <x:cfRule type="containsText" dxfId="1" priority="2" operator="containsText" text="B"/>
    <x:cfRule type="containsText" dxfId="2" priority="3" operator="containsText" text="S"/>
  </x:conditionalFormatting>
  <x:dataValidations count="1">
    <x:dataValidation type="list" sqref="C7:C86">
      <x:formula1>"A,B,S"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6e978642624aed"/>
  </x:tableParts>
</x:worksheet>
</file>

<file path=xl/worksheets/sheet3.xml><?xml version="1.0" encoding="utf-8"?>
<x:worksheet xmlns:x="http://schemas.openxmlformats.org/spreadsheetml/2006/main">
  <x:sheetPr>
    <x:tabColor rgb="FF203C5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" hidden="0" customWidth="1"/>
    <x:col min="2" max="2" width="31" hidden="0" customWidth="1"/>
    <x:col min="3" max="3" width="29" hidden="0" customWidth="1"/>
    <x:col min="4" max="4" width="43" hidden="0" customWidth="1"/>
    <x:col min="5" max="5" width="57" hidden="0" customWidth="1"/>
    <x:col min="6" max="6" width="45" hidden="0" customWidth="1"/>
    <x:col min="7" max="7" width="9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4" customHeight="1">
      <x:c r="A2" s="3" t="str">
        <x:v>Контакты и маршрут к закупкам</x:v>
      </x:c>
      <x:c r="B2" s="2"/>
      <x:c r="C2" s="2"/>
      <x:c r="D2" s="2"/>
      <x:c r="E2" s="2"/>
      <x:c r="F2" s="2"/>
      <x:c r="G2" s="2"/>
    </x:row>
    <x:row r="3" ht="28" customHeight="1">
      <x:c r="A3" s="4" t="str">
        <x:v>Публичные деловые контакты. Контакт продаж, приёмной, HR или ресепшена не означает полномочий по энергоснабжению.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45" customHeight="1">
      <x:c r="A6" s="22" t="str">
        <x:v>ID</x:v>
      </x:c>
      <x:c r="B6" s="22" t="str">
        <x:v>Предприятие / группа</x:v>
      </x:c>
      <x:c r="C6" s="22" t="str">
        <x:v>Телефон</x:v>
      </x:c>
      <x:c r="D6" s="22" t="str">
        <x:v>Email / форма</x:v>
      </x:c>
      <x:c r="E6" s="22" t="str">
        <x:v>Назначение и качество контакта</x:v>
      </x:c>
      <x:c r="F6" s="22" t="str">
        <x:v>Кого запросить</x:v>
      </x:c>
      <x:c r="G6" s="22" t="str">
        <x:v>Источник контакта</x:v>
      </x:c>
    </x:row>
    <x:row r="7" ht="68" customHeight="1">
      <x:c r="A7" s="24" t="str">
        <x:v>E01</x:v>
      </x:c>
      <x:c r="B7" s="25" t="str">
        <x:v>TANDEM</x:v>
      </x:c>
      <x:c r="C7" s="31" t="str">
        <x:v>+373 79 057 770</x:v>
      </x:c>
      <x:c r="D7" s="31" t="str">
        <x:v>—</x:v>
      </x:c>
      <x:c r="E7" s="24" t="str">
        <x:v>Общий коммерческий контакт / салон; не закупки энергии.</x:v>
      </x:c>
      <x:c r="F7" s="24" t="str">
        <x:v>Руководитель фабрики / главный инженер / финансовый директор</x:v>
      </x:c>
      <x:c r="G7" s="29" t="str">
        <x:v>https://tandem.md/ro/mobila-la-comanda/</x:v>
      </x:c>
    </x:row>
    <x:row r="8" ht="68" customHeight="1">
      <x:c r="A8" s="18" t="str">
        <x:v>E02</x:v>
      </x:c>
      <x:c r="B8" s="26" t="str">
        <x:v>Ambianța</x:v>
      </x:c>
      <x:c r="C8" s="32" t="str">
        <x:v>+373 22 855 333</x:v>
      </x:c>
      <x:c r="D8" s="32" t="str">
        <x:v>—</x:v>
      </x:c>
      <x:c r="E8" s="18" t="str">
        <x:v>Общий контакт / розничная сеть; запросить перевод на производство.</x:v>
      </x:c>
      <x:c r="F8" s="18" t="str">
        <x:v>Директор производства / энергетик</x:v>
      </x:c>
      <x:c r="G8" s="30" t="str">
        <x:v>https://ambianta.md/despre-noi</x:v>
      </x:c>
    </x:row>
    <x:row r="9" ht="68" customHeight="1">
      <x:c r="A9" s="24" t="str">
        <x:v>E03</x:v>
      </x:c>
      <x:c r="B9" s="25" t="str">
        <x:v>Confort</x:v>
      </x:c>
      <x:c r="C9" s="31" t="str">
        <x:v>+373 22 843 061</x:v>
      </x:c>
      <x:c r="D9" s="31" t="str">
        <x:v>marketing@confort.md</x:v>
      </x:c>
      <x:c r="E9" s="24" t="str">
        <x:v>Маркетинг / общий контакт.</x:v>
      </x:c>
      <x:c r="F9" s="24" t="str">
        <x:v>Руководитель производства / бухгалтерия</x:v>
      </x:c>
      <x:c r="G9" s="29" t="str">
        <x:v>https://confort.md/ro/contact</x:v>
      </x:c>
    </x:row>
    <x:row r="10" ht="68" customHeight="1">
      <x:c r="A10" s="18" t="str">
        <x:v>E04</x:v>
      </x:c>
      <x:c r="B10" s="26" t="str">
        <x:v>Nani</x:v>
      </x:c>
      <x:c r="C10" s="32" t="str">
        <x:v>+373 69 318 318</x:v>
      </x:c>
      <x:c r="D10" s="32" t="str">
        <x:v>sales.policasnica@gmail.com</x:v>
      </x:c>
      <x:c r="E10" s="18" t="str">
        <x:v>Продажи бренда Nani; юрлицо договора уточнить.</x:v>
      </x:c>
      <x:c r="F10" s="18" t="str">
        <x:v>Директор фабрики / собственник</x:v>
      </x:c>
      <x:c r="G10" s="30" t="str">
        <x:v>https://www.nani.md/ro/about</x:v>
      </x:c>
    </x:row>
    <x:row r="11" ht="68" customHeight="1">
      <x:c r="A11" s="24" t="str">
        <x:v>E05</x:v>
      </x:c>
      <x:c r="B11" s="25" t="str">
        <x:v>KADO</x:v>
      </x:c>
      <x:c r="C11" s="31" t="str">
        <x:v>+373 68 861 111</x:v>
      </x:c>
      <x:c r="D11" s="31" t="str">
        <x:v>kadooffice@gmail.com</x:v>
      </x:c>
      <x:c r="E11" s="24" t="str">
        <x:v>Общий коммерческий контакт.</x:v>
      </x:c>
      <x:c r="F11" s="24" t="str">
        <x:v>Собственник / начальник цеха</x:v>
      </x:c>
      <x:c r="G11" s="29" t="str">
        <x:v>https://www.kado.md/</x:v>
      </x:c>
    </x:row>
    <x:row r="12" ht="68" customHeight="1">
      <x:c r="A12" s="18" t="str">
        <x:v>E06</x:v>
      </x:c>
      <x:c r="B12" s="26" t="str">
        <x:v>Moldagrotehnica</x:v>
      </x:c>
      <x:c r="C12" s="32" t="str">
        <x:v>+373 231 88 704</x:v>
      </x:c>
      <x:c r="D12" s="32" t="str">
        <x:v>dir-fin@moldagrotehnica.md</x:v>
      </x:c>
      <x:c r="E12" s="18" t="str">
        <x:v>Финансовый директор — роль опубликована на сайте.</x:v>
      </x:c>
      <x:c r="F12" s="18" t="str">
        <x:v>Финансовый директор совместно с производством / энергетиком</x:v>
      </x:c>
      <x:c r="G12" s="30" t="str">
        <x:v>https://moldagrotehnica.md/despre-noi/</x:v>
      </x:c>
    </x:row>
    <x:row r="13" ht="68" customHeight="1">
      <x:c r="A13" s="24" t="str">
        <x:v>E07</x:v>
      </x:c>
      <x:c r="B13" s="25" t="str">
        <x:v>Mavitex-Cons</x:v>
      </x:c>
      <x:c r="C13" s="31" t="str">
        <x:v>+373 60 897 694</x:v>
      </x:c>
      <x:c r="D13" s="31" t="str">
        <x:v>mavitex.cons@gmail.com</x:v>
      </x:c>
      <x:c r="E13" s="24" t="str">
        <x:v>Общий коммерческий контакт.</x:v>
      </x:c>
      <x:c r="F13" s="24" t="str">
        <x:v>Директор / руководитель производства</x:v>
      </x:c>
      <x:c r="G13" s="29" t="str">
        <x:v>https://mavitexcons.md/</x:v>
      </x:c>
    </x:row>
    <x:row r="14" ht="68" customHeight="1">
      <x:c r="A14" s="18" t="str">
        <x:v>E08</x:v>
      </x:c>
      <x:c r="B14" s="26" t="str">
        <x:v>Vizant</x:v>
      </x:c>
      <x:c r="C14" s="32" t="str">
        <x:v>+373 79 880 102</x:v>
      </x:c>
      <x:c r="D14" s="32" t="str">
        <x:v>info@vizant.md</x:v>
      </x:c>
      <x:c r="E14" s="18" t="str">
        <x:v>Общий коммерческий контакт.</x:v>
      </x:c>
      <x:c r="F14" s="18" t="str">
        <x:v>Директор производства / главный инженер</x:v>
      </x:c>
      <x:c r="G14" s="30" t="str">
        <x:v>https://vizant.md/ro/</x:v>
      </x:c>
    </x:row>
    <x:row r="15" ht="68" customHeight="1">
      <x:c r="A15" s="24" t="str">
        <x:v>E09</x:v>
      </x:c>
      <x:c r="B15" s="25" t="str">
        <x:v>SD GRAND LUX</x:v>
      </x:c>
      <x:c r="C15" s="31" t="str">
        <x:v>+373 68 236 236</x:v>
      </x:c>
      <x:c r="D15" s="31" t="str">
        <x:v>sdgrandlux@gmail.com</x:v>
      </x:c>
      <x:c r="E15" s="24" t="str">
        <x:v>Контакты юридического лица в подвале сайта.</x:v>
      </x:c>
      <x:c r="F15" s="24" t="str">
        <x:v>Директор / главный инженер</x:v>
      </x:c>
      <x:c r="G15" s="29" t="str">
        <x:v>https://laser-rezka.md/ro/</x:v>
      </x:c>
    </x:row>
    <x:row r="16" ht="68" customHeight="1">
      <x:c r="A16" s="18" t="str">
        <x:v>E10</x:v>
      </x:c>
      <x:c r="B16" s="26" t="str">
        <x:v>METANCOR</x:v>
      </x:c>
      <x:c r="C16" s="32" t="str">
        <x:v>+373 22 429 500</x:v>
      </x:c>
      <x:c r="D16" s="32" t="str">
        <x:v>service@metancor.md</x:v>
      </x:c>
      <x:c r="E16" s="18" t="str">
        <x:v>Отдел производства — прямо указан на странице контактов.</x:v>
      </x:c>
      <x:c r="F16" s="18" t="str">
        <x:v>Руководитель производства / энергетик</x:v>
      </x:c>
      <x:c r="G16" s="30" t="str">
        <x:v>https://metancor.md/kontakty/</x:v>
      </x:c>
    </x:row>
    <x:row r="17" ht="68" customHeight="1">
      <x:c r="A17" s="24" t="str">
        <x:v>E11</x:v>
      </x:c>
      <x:c r="B17" s="25" t="str">
        <x:v>AIRFLOW</x:v>
      </x:c>
      <x:c r="C17" s="31" t="str">
        <x:v>+373 60 503 000</x:v>
      </x:c>
      <x:c r="D17" s="31" t="str">
        <x:v>airflowsrl@gmail.com</x:v>
      </x:c>
      <x:c r="E17" s="24" t="str">
        <x:v>Общий коммерческий контакт.</x:v>
      </x:c>
      <x:c r="F17" s="24" t="str">
        <x:v>Руководитель производства / директор</x:v>
      </x:c>
      <x:c r="G17" s="29" t="str">
        <x:v>https://airflow.md/ro/service/welding/</x:v>
      </x:c>
    </x:row>
    <x:row r="18" ht="68" customHeight="1">
      <x:c r="A18" s="18" t="str">
        <x:v>E12</x:v>
      </x:c>
      <x:c r="B18" s="26" t="str">
        <x:v>RUBIPLAST-COM</x:v>
      </x:c>
      <x:c r="C18" s="32" t="str">
        <x:v>+373 68 522 300</x:v>
      </x:c>
      <x:c r="D18" s="32" t="str">
        <x:v>poparubiplast@gmail.com</x:v>
      </x:c>
      <x:c r="E18" s="18" t="str">
        <x:v>Общий контакт производителя.</x:v>
      </x:c>
      <x:c r="F18" s="18" t="str">
        <x:v>Директор производства / технический руководитель</x:v>
      </x:c>
      <x:c r="G18" s="30" t="str">
        <x:v>https://www.rubiplast.com.md/?lang=ro&amp;page=contact</x:v>
      </x:c>
    </x:row>
    <x:row r="19" ht="68" customHeight="1">
      <x:c r="A19" s="24" t="str">
        <x:v>E13</x:v>
      </x:c>
      <x:c r="B19" s="25" t="str">
        <x:v>UISPAC</x:v>
      </x:c>
      <x:c r="C19" s="31" t="str">
        <x:v>+373 60 613 399</x:v>
      </x:c>
      <x:c r="D19" s="31" t="str">
        <x:v>—</x:v>
      </x:c>
      <x:c r="E19" s="24" t="str">
        <x:v>Общий контакт; email не включён из-за расхождения адреса и mailto на сайте.</x:v>
      </x:c>
      <x:c r="F19" s="24" t="str">
        <x:v>Директор / главный инженер</x:v>
      </x:c>
      <x:c r="G19" s="29" t="str">
        <x:v>https://uispac.md/en/main</x:v>
      </x:c>
    </x:row>
    <x:row r="20" ht="68" customHeight="1">
      <x:c r="A20" s="18" t="str">
        <x:v>E14</x:v>
      </x:c>
      <x:c r="B20" s="26" t="str">
        <x:v>Pandrim</x:v>
      </x:c>
      <x:c r="C20" s="32" t="str">
        <x:v>+373 69 112 433</x:v>
      </x:c>
      <x:c r="D20" s="32" t="str">
        <x:v>pandrim.srl@gmail.com</x:v>
      </x:c>
      <x:c r="E20" s="18" t="str">
        <x:v>Общий контакт производителя.</x:v>
      </x:c>
      <x:c r="F20" s="18" t="str">
        <x:v>Директор / начальник производства</x:v>
      </x:c>
      <x:c r="G20" s="30" t="str">
        <x:v>https://pandrim.md/contacte/</x:v>
      </x:c>
    </x:row>
    <x:row r="21" ht="68" customHeight="1">
      <x:c r="A21" s="24" t="str">
        <x:v>E15</x:v>
      </x:c>
      <x:c r="B21" s="25" t="str">
        <x:v>SANIN</x:v>
      </x:c>
      <x:c r="C21" s="31" t="str">
        <x:v>+373 68 760 444</x:v>
      </x:c>
      <x:c r="D21" s="31" t="str">
        <x:v>sales@sanin.md</x:v>
      </x:c>
      <x:c r="E21" s="24" t="str">
        <x:v>Отдел продаж.</x:v>
      </x:c>
      <x:c r="F21" s="24" t="str">
        <x:v>Руководитель производства / главный энергетик</x:v>
      </x:c>
      <x:c r="G21" s="29" t="str">
        <x:v>https://www.sanin.md/ro/</x:v>
      </x:c>
    </x:row>
    <x:row r="22" ht="68" customHeight="1">
      <x:c r="A22" s="18" t="str">
        <x:v>E16</x:v>
      </x:c>
      <x:c r="B22" s="26" t="str">
        <x:v>Moldpack</x:v>
      </x:c>
      <x:c r="C22" s="32" t="str">
        <x:v>+373 78 182 454</x:v>
      </x:c>
      <x:c r="D22" s="32" t="str">
        <x:v>—</x:v>
      </x:c>
      <x:c r="E22" s="18" t="str">
        <x:v>Контакт фабрики на странице компании.</x:v>
      </x:c>
      <x:c r="F22" s="18" t="str">
        <x:v>Начальник производства / директор</x:v>
      </x:c>
      <x:c r="G22" s="30" t="str">
        <x:v>https://www.moldpack.md/ro/despre-noi</x:v>
      </x:c>
    </x:row>
    <x:row r="23" ht="68" customHeight="1">
      <x:c r="A23" s="24" t="str">
        <x:v>E17</x:v>
      </x:c>
      <x:c r="B23" s="25" t="str">
        <x:v>DAVAS-NUCAR / Ecocarton</x:v>
      </x:c>
      <x:c r="C23" s="31" t="str">
        <x:v>+373 69 113 351</x:v>
      </x:c>
      <x:c r="D23" s="31" t="str">
        <x:v>—</x:v>
      </x:c>
      <x:c r="E23" s="24" t="str">
        <x:v>Общий коммерческий контакт.</x:v>
      </x:c>
      <x:c r="F23" s="24" t="str">
        <x:v>Руководитель производства / бухгалтерия</x:v>
      </x:c>
      <x:c r="G23" s="29" t="str">
        <x:v>https://ecocarton.md/ro/about</x:v>
      </x:c>
    </x:row>
    <x:row r="24" ht="68" customHeight="1">
      <x:c r="A24" s="18" t="str">
        <x:v>E18</x:v>
      </x:c>
      <x:c r="B24" s="26" t="str">
        <x:v>Pergament</x:v>
      </x:c>
      <x:c r="C24" s="32" t="str">
        <x:v>+373 79 044 417</x:v>
      </x:c>
      <x:c r="D24" s="32" t="str">
        <x:v>contact@pergament.md</x:v>
      </x:c>
      <x:c r="E24" s="18" t="str">
        <x:v>Общий контакт типографии.</x:v>
      </x:c>
      <x:c r="F24" s="18" t="str">
        <x:v>Директор производства / главный инженер</x:v>
      </x:c>
      <x:c r="G24" s="30" t="str">
        <x:v>https://pergament.md/ro/contacte/</x:v>
      </x:c>
    </x:row>
    <x:row r="25" ht="68" customHeight="1">
      <x:c r="A25" s="24" t="str">
        <x:v>E19</x:v>
      </x:c>
      <x:c r="B25" s="25" t="str">
        <x:v>Firstline</x:v>
      </x:c>
      <x:c r="C25" s="31" t="str">
        <x:v>+373 60 060 601</x:v>
      </x:c>
      <x:c r="D25" s="31" t="str">
        <x:v>sales@firstline.md</x:v>
      </x:c>
      <x:c r="E25" s="24" t="str">
        <x:v>Отдел продаж.</x:v>
      </x:c>
      <x:c r="F25" s="24" t="str">
        <x:v>Технический директор / руководитель производства</x:v>
      </x:c>
      <x:c r="G25" s="29" t="str">
        <x:v>https://www.firstline.md/ro/ambalajele-flexibile/</x:v>
      </x:c>
    </x:row>
    <x:row r="26" ht="68" customHeight="1">
      <x:c r="A26" s="18" t="str">
        <x:v>E20</x:v>
      </x:c>
      <x:c r="B26" s="26" t="str">
        <x:v>Elit Fruct</x:v>
      </x:c>
      <x:c r="C26" s="32" t="str">
        <x:v>+373 69 176 251</x:v>
      </x:c>
      <x:c r="D26" s="32" t="str">
        <x:v>office@elitfruct.md</x:v>
      </x:c>
      <x:c r="E26" s="18" t="str">
        <x:v>Общий контакт предприятия.</x:v>
      </x:c>
      <x:c r="F26" s="18" t="str">
        <x:v>Руководитель холодильного комплекса / энергетик</x:v>
      </x:c>
      <x:c r="G26" s="30" t="str">
        <x:v>https://www.elitfruct.md/ro/contacte</x:v>
      </x:c>
    </x:row>
    <x:row r="27" ht="68" customHeight="1">
      <x:c r="A27" s="24" t="str">
        <x:v>E21</x:v>
      </x:c>
      <x:c r="B27" s="25" t="str">
        <x:v>NeoFrost</x:v>
      </x:c>
      <x:c r="C27" s="31" t="str">
        <x:v>+373 68 222 775</x:v>
      </x:c>
      <x:c r="D27" s="31" t="str">
        <x:v>neofrost2017@gmail.com</x:v>
      </x:c>
      <x:c r="E27" s="24" t="str">
        <x:v>Общий контакт производителя.</x:v>
      </x:c>
      <x:c r="F27" s="24" t="str">
        <x:v>Директор производства / инженер холодильного хозяйства</x:v>
      </x:c>
      <x:c r="G27" s="29" t="str">
        <x:v>https://neofrost.md/fabric</x:v>
      </x:c>
    </x:row>
    <x:row r="28" ht="68" customHeight="1">
      <x:c r="A28" s="18" t="str">
        <x:v>E22</x:v>
      </x:c>
      <x:c r="B28" s="26" t="str">
        <x:v>Frații Vaipan</x:v>
      </x:c>
      <x:c r="C28" s="32" t="str">
        <x:v>+373 78 003 500</x:v>
      </x:c>
      <x:c r="D28" s="32" t="str">
        <x:v>info@vaipan.md</x:v>
      </x:c>
      <x:c r="E28" s="18" t="str">
        <x:v>Общий коммерческий контакт.</x:v>
      </x:c>
      <x:c r="F28" s="18" t="str">
        <x:v>Руководитель холодильника / собственник</x:v>
      </x:c>
      <x:c r="G28" s="30" t="str">
        <x:v>https://vaipan.md/index.php/ro/servicii/frigider-pentru-fructe-legume</x:v>
      </x:c>
    </x:row>
    <x:row r="29" ht="68" customHeight="1">
      <x:c r="A29" s="24" t="str">
        <x:v>E23</x:v>
      </x:c>
      <x:c r="B29" s="25" t="str">
        <x:v>Rogob</x:v>
      </x:c>
      <x:c r="C29" s="31" t="str">
        <x:v>+373 22 866 566</x:v>
      </x:c>
      <x:c r="D29" s="31" t="str">
        <x:v>—</x:v>
      </x:c>
      <x:c r="E29" s="24" t="str">
        <x:v>Общий контакт компании.</x:v>
      </x:c>
      <x:c r="F29" s="24" t="str">
        <x:v>Технический директор / главный энергетик / финансы</x:v>
      </x:c>
      <x:c r="G29" s="29" t="str">
        <x:v>https://rogob.md/contacts</x:v>
      </x:c>
    </x:row>
    <x:row r="30" ht="68" customHeight="1">
      <x:c r="A30" s="18" t="str">
        <x:v>E24</x:v>
      </x:c>
      <x:c r="B30" s="26" t="str">
        <x:v>Orhei-Vit</x:v>
      </x:c>
      <x:c r="C30" s="32" t="str">
        <x:v>+373 69 578 571</x:v>
      </x:c>
      <x:c r="D30" s="32" t="str">
        <x:v>—</x:v>
      </x:c>
      <x:c r="E30" s="18" t="str">
        <x:v>Закупки для производства и логистика; полномочия по энергии не подтверждены.</x:v>
      </x:c>
      <x:c r="F30" s="18" t="str">
        <x:v>Руководитель закупок / главный энергетик</x:v>
      </x:c>
      <x:c r="G30" s="30" t="str">
        <x:v>https://orhei-vit.com/contacte/</x:v>
      </x:c>
    </x:row>
    <x:row r="31" ht="68" customHeight="1">
      <x:c r="A31" s="24" t="str">
        <x:v>E25</x:v>
      </x:c>
      <x:c r="B31" s="25" t="str">
        <x:v>Alfa-Nistru</x:v>
      </x:c>
      <x:c r="C31" s="31" t="str">
        <x:v>+373 230 23 647</x:v>
      </x:c>
      <x:c r="D31" s="31" t="str">
        <x:v>info@alfa-nistru.com</x:v>
      </x:c>
      <x:c r="E31" s="24" t="str">
        <x:v>Общий контакт предприятия.</x:v>
      </x:c>
      <x:c r="F31" s="24" t="str">
        <x:v>Директор производства / главный инженер / финансы</x:v>
      </x:c>
      <x:c r="G31" s="29" t="str">
        <x:v>https://alfa-nistru.com/ro</x:v>
      </x:c>
    </x:row>
    <x:row r="32" ht="68" customHeight="1">
      <x:c r="A32" s="18" t="str">
        <x:v>E26</x:v>
      </x:c>
      <x:c r="B32" s="26" t="str">
        <x:v>JLC</x:v>
      </x:c>
      <x:c r="C32" s="32" t="str">
        <x:v>+373 22 523 529</x:v>
      </x:c>
      <x:c r="D32" s="32" t="str">
        <x:v>zbirsan@jlc.md</x:v>
      </x:c>
      <x:c r="E32" s="18" t="str">
        <x:v>Телефон: производство и технология; email: секретариат.</x:v>
      </x:c>
      <x:c r="F32" s="18" t="str">
        <x:v>Руководитель производства / энергетик / финансовый отдел</x:v>
      </x:c>
      <x:c r="G32" s="30" t="str">
        <x:v>https://jlc.md/contacts/</x:v>
      </x:c>
    </x:row>
    <x:row r="33" ht="68" customHeight="1">
      <x:c r="A33" s="24" t="str">
        <x:v>E27</x:v>
      </x:c>
      <x:c r="B33" s="25" t="str">
        <x:v>Floreni</x:v>
      </x:c>
      <x:c r="C33" s="31" t="str">
        <x:v>+373 22 227 780</x:v>
      </x:c>
      <x:c r="D33" s="31" t="str">
        <x:v>office@floreni.md</x:v>
      </x:c>
      <x:c r="E33" s="24" t="str">
        <x:v>Офис / горячая линия, не прямой контакт закупок энергии.</x:v>
      </x:c>
      <x:c r="F33" s="24" t="str">
        <x:v>Финансовая служба группы / главный энергетик</x:v>
      </x:c>
      <x:c r="G33" s="29" t="str">
        <x:v>https://floreni.md/contacts.php</x:v>
      </x:c>
    </x:row>
    <x:row r="34" ht="68" customHeight="1">
      <x:c r="A34" s="18" t="str">
        <x:v>E28</x:v>
      </x:c>
      <x:c r="B34" s="26" t="str">
        <x:v>Axedum</x:v>
      </x:c>
      <x:c r="C34" s="32" t="str">
        <x:v>+373 60 010 049</x:v>
      </x:c>
      <x:c r="D34" s="32" t="str">
        <x:v>sales@axedum.md</x:v>
      </x:c>
      <x:c r="E34" s="18" t="str">
        <x:v>Телефон комбикормового завода; email общего отдела продаж.</x:v>
      </x:c>
      <x:c r="F34" s="18" t="str">
        <x:v>Руководитель завода / техническая служба группы</x:v>
      </x:c>
      <x:c r="G34" s="30" t="str">
        <x:v>https://axedum.md/contacte/</x:v>
      </x:c>
    </x:row>
    <x:row r="35" ht="68" customHeight="1">
      <x:c r="A35" s="24" t="str">
        <x:v>E29</x:v>
      </x:c>
      <x:c r="B35" s="25" t="str">
        <x:v>Bucuria</x:v>
      </x:c>
      <x:c r="C35" s="31" t="str">
        <x:v>+373 22 895 600</x:v>
      </x:c>
      <x:c r="D35" s="31" t="str">
        <x:v>office@bucuria.md</x:v>
      </x:c>
      <x:c r="E35" s="24" t="str">
        <x:v>Общий контакт предприятия.</x:v>
      </x:c>
      <x:c r="F35" s="24" t="str">
        <x:v>Главный инженер / энергетик / финансовый директор</x:v>
      </x:c>
      <x:c r="G35" s="29" t="str">
        <x:v>https://bucuria.md/aboutus</x:v>
      </x:c>
    </x:row>
    <x:row r="36" ht="68" customHeight="1">
      <x:c r="A36" s="18" t="str">
        <x:v>E30</x:v>
      </x:c>
      <x:c r="B36" s="26" t="str">
        <x:v>Efes Vitanta Moldova Brewery</x:v>
      </x:c>
      <x:c r="C36" s="32" t="str">
        <x:v>—</x:v>
      </x:c>
      <x:c r="D36" s="32" t="str">
        <x:v>Форма на сайте</x:v>
      </x:c>
      <x:c r="E36" s="18" t="str">
        <x:v>Общая контактная форма; телефоны экскурсий/жалоб не использованы как закупочные.</x:v>
      </x:c>
      <x:c r="F36" s="18" t="str">
        <x:v>Закупки / технический директор площадки</x:v>
      </x:c>
      <x:c r="G36" s="30" t="str">
        <x:v>https://efesmoldova.md/contacte/</x:v>
      </x:c>
    </x:row>
    <x:row r="37" ht="68" customHeight="1">
      <x:c r="A37" s="24" t="str">
        <x:v>E31</x:v>
      </x:c>
      <x:c r="B37" s="25" t="str">
        <x:v>Holcim Moldova</x:v>
      </x:c>
      <x:c r="C37" s="31" t="str">
        <x:v>+373 68 743 335</x:v>
      </x:c>
      <x:c r="D37" s="31" t="str">
        <x:v>moldova@holcim.com</x:v>
      </x:c>
      <x:c r="E37" s="24" t="str">
        <x:v>Общий контакт / call-центр; не подтверждён как закупки энергии.</x:v>
      </x:c>
      <x:c r="F37" s="24" t="str">
        <x:v>Закупки / энергетик завода / финансы</x:v>
      </x:c>
      <x:c r="G37" s="29" t="str">
        <x:v>https://www.holcim.md/ro/contacteaza-ne</x:v>
      </x:c>
    </x:row>
    <x:row r="38" ht="68" customHeight="1">
      <x:c r="A38" s="18" t="str">
        <x:v>E32</x:v>
      </x:c>
      <x:c r="B38" s="26" t="str">
        <x:v>MACON</x:v>
      </x:c>
      <x:c r="C38" s="32" t="str">
        <x:v>—</x:v>
      </x:c>
      <x:c r="D38" s="32" t="str">
        <x:v>maconsa@mail.ru</x:v>
      </x:c>
      <x:c r="E38" s="18" t="str">
        <x:v>Общий корпоративный email.</x:v>
      </x:c>
      <x:c r="F38" s="18" t="str">
        <x:v>Главный инженер / энергетик / закупки</x:v>
      </x:c>
      <x:c r="G38" s="30" t="str">
        <x:v>https://macon.md/rom/kontakti.html</x:v>
      </x:c>
    </x:row>
    <x:row r="39" ht="68" customHeight="1">
      <x:c r="A39" s="24" t="str">
        <x:v>E33</x:v>
      </x:c>
      <x:c r="B39" s="25" t="str">
        <x:v>Vetropack Chișinău</x:v>
      </x:c>
      <x:c r="C39" s="31" t="str">
        <x:v>+373 22 895 800</x:v>
      </x:c>
      <x:c r="D39" s="31" t="str">
        <x:v>reception.chisinau@vetropack.com</x:v>
      </x:c>
      <x:c r="E39" s="24" t="str">
        <x:v>Приёмная площадки.</x:v>
      </x:c>
      <x:c r="F39" s="24" t="str">
        <x:v>Руководство завода / закупки энергии группы</x:v>
      </x:c>
      <x:c r="G39" s="29" t="str">
        <x:v>https://www.vetropack.com/en/about-us/locations/chisinau/</x:v>
      </x:c>
    </x:row>
    <x:row r="40" ht="68" customHeight="1">
      <x:c r="A40" s="18" t="str">
        <x:v>E34</x:v>
      </x:c>
      <x:c r="B40" s="26" t="str">
        <x:v>Floarea Soarelui / FLORIS (Trans-Oil)</x:v>
      </x:c>
      <x:c r="C40" s="32" t="str">
        <x:v>+373 231 80 280</x:v>
      </x:c>
      <x:c r="D40" s="32" t="str">
        <x:v>floarea-soarelui@transoilcorp.com</x:v>
      </x:c>
      <x:c r="E40" s="18" t="str">
        <x:v>Общий контакт предприятия.</x:v>
      </x:c>
      <x:c r="F40" s="18" t="str">
        <x:v>Энергетик / закупки Trans-Oil / финансы завода</x:v>
      </x:c>
      <x:c r="G40" s="30" t="str">
        <x:v>https://florisoil.com/page/contact</x:v>
      </x:c>
    </x:row>
    <x:row r="41" ht="68" customHeight="1">
      <x:c r="A41" s="24" t="str">
        <x:v>E35</x:v>
      </x:c>
      <x:c r="B41" s="25" t="str">
        <x:v>SUPRATEN</x:v>
      </x:c>
      <x:c r="C41" s="31" t="str">
        <x:v>+373 22 268 000</x:v>
      </x:c>
      <x:c r="D41" s="31" t="str">
        <x:v>—</x:v>
      </x:c>
      <x:c r="E41" s="24" t="str">
        <x:v>Общий контакт; страница для поставщиков преимущественно о товарах для магазинов.</x:v>
      </x:c>
      <x:c r="F41" s="24" t="str">
        <x:v>Технический директор / производство / закупки услуг</x:v>
      </x:c>
      <x:c r="G41" s="29" t="str">
        <x:v>https://supraten.md/informatie-furnizorilor</x:v>
      </x:c>
    </x:row>
    <x:row r="42" ht="68" customHeight="1">
      <x:c r="A42" s="18" t="str">
        <x:v>E36</x:v>
      </x:c>
      <x:c r="B42" s="26" t="str">
        <x:v>Moldabela / Covoare Ungheni</x:v>
      </x:c>
      <x:c r="C42" s="32" t="str">
        <x:v>+373 22 239 021</x:v>
      </x:c>
      <x:c r="D42" s="32" t="str">
        <x:v>—</x:v>
      </x:c>
      <x:c r="E42" s="18" t="str">
        <x:v>Оптовые продажи / экспорт; не прямые закупки электроэнергии.</x:v>
      </x:c>
      <x:c r="F42" s="18" t="str">
        <x:v>Директор фабрики / главный инженер</x:v>
      </x:c>
      <x:c r="G42" s="30" t="str">
        <x:v>https://moldabela.com/contact/</x:v>
      </x:c>
    </x:row>
    <x:row r="43" ht="68" customHeight="1">
      <x:c r="A43" s="24" t="str">
        <x:v>E37</x:v>
      </x:c>
      <x:c r="B43" s="25" t="str">
        <x:v>Franzeluța SA</x:v>
      </x:c>
      <x:c r="C43" s="31" t="str">
        <x:v>+373 22 551 445</x:v>
      </x:c>
      <x:c r="D43" s="31" t="str">
        <x:v>anticamera@franzeluta.md</x:v>
      </x:c>
      <x:c r="E43" s="24" t="str">
        <x:v>Приёмная</x:v>
      </x:c>
      <x:c r="F43" s="24" t="str">
        <x:v>Главный инженер / руководитель производства / финансовый директор</x:v>
      </x:c>
      <x:c r="G43" s="29" t="str">
        <x:v>https://app.gov.md/companies/franzeluta/</x:v>
      </x:c>
    </x:row>
    <x:row r="44" ht="68" customHeight="1">
      <x:c r="A44" s="18" t="str">
        <x:v>E38</x:v>
      </x:c>
      <x:c r="B44" s="26" t="str">
        <x:v>IUGINTERTRANS SA / Milina</x:v>
      </x:c>
      <x:c r="C44" s="32" t="str">
        <x:v>+373 60 044 999</x:v>
      </x:c>
      <x:c r="D44" s="32" t="str">
        <x:v>deposit.iugtrans@gmail.com</x:v>
      </x:c>
      <x:c r="E44" s="18" t="str">
        <x:v>Контакт холодильного терминала; выход на операционного руководителя</x:v>
      </x:c>
      <x:c r="F44" s="18" t="str">
        <x:v>Главный инженер / руководитель производства / финансовый директор</x:v>
      </x:c>
      <x:c r="G44" s="30" t="str">
        <x:v>https://www.milina.md/</x:v>
      </x:c>
    </x:row>
    <x:row r="45" ht="68" customHeight="1">
      <x:c r="A45" s="24" t="str">
        <x:v>E39</x:v>
      </x:c>
      <x:c r="B45" s="25" t="str">
        <x:v>ȘAPTE SPICE SRL (Молдова)</x:v>
      </x:c>
      <x:c r="C45" s="31" t="str">
        <x:v>Не найден открытый полный номер</x:v>
      </x:c>
      <x:c r="D45" s="31" t="str">
        <x:v>Не найден</x:v>
      </x:c>
      <x:c r="E45" s="24" t="str">
        <x:v>В справочнике контакт скрыт; страница работодателя — маршрут поиска</x:v>
      </x:c>
      <x:c r="F45" s="24" t="str">
        <x:v>Главный инженер / руководитель производства / финансовый директор</x:v>
      </x:c>
      <x:c r="G45" s="29" t="str">
        <x:v>https://www.rabota.md/ro/companies/apte-spice-srl</x:v>
      </x:c>
    </x:row>
    <x:row r="46" ht="68" customHeight="1">
      <x:c r="A46" s="18" t="str">
        <x:v>E40</x:v>
      </x:c>
      <x:c r="B46" s="26" t="str">
        <x:v>BRODEȚCHI SRL</x:v>
      </x:c>
      <x:c r="C46" s="32" t="str">
        <x:v>+373 235 32040; +373 235 34289</x:v>
      </x:c>
      <x:c r="D46" s="32" t="str">
        <x:v>Не найден</x:v>
      </x:c>
      <x:c r="E46" s="18" t="str">
        <x:v>Общие телефоны компании</x:v>
      </x:c>
      <x:c r="F46" s="18" t="str">
        <x:v>Главный инженер / руководитель производства / финансовый директор</x:v>
      </x:c>
      <x:c r="G46" s="30" t="str">
        <x:v>https://brodetchi.md/despre-noi/</x:v>
      </x:c>
    </x:row>
    <x:row r="47" ht="68" customHeight="1">
      <x:c r="A47" s="24" t="str">
        <x:v>E41</x:v>
      </x:c>
      <x:c r="B47" s="25" t="str">
        <x:v>PANILINO SRL</x:v>
      </x:c>
      <x:c r="C47" s="31" t="str">
        <x:v>+373 22 859 779</x:v>
      </x:c>
      <x:c r="D47" s="31" t="str">
        <x:v>Не найден</x:v>
      </x:c>
      <x:c r="E47" s="24" t="str">
        <x:v>Контакт каталога производителя; не проверен звонком</x:v>
      </x:c>
      <x:c r="F47" s="24" t="str">
        <x:v>Главный инженер / руководитель производства / финансовый директор</x:v>
      </x:c>
      <x:c r="G47" s="29" t="str">
        <x:v>https://store.madein.md/panilino</x:v>
      </x:c>
    </x:row>
    <x:row r="48" ht="68" customHeight="1">
      <x:c r="A48" s="18" t="str">
        <x:v>E42</x:v>
      </x:c>
      <x:c r="B48" s="26" t="str">
        <x:v>DULCINELLA SRL</x:v>
      </x:c>
      <x:c r="C48" s="32" t="str">
        <x:v>+373 60 025 858</x:v>
      </x:c>
      <x:c r="D48" s="32" t="str">
        <x:v>direct@dulcinella.com</x:v>
      </x:c>
      <x:c r="E48" s="18" t="str">
        <x:v>Общий контакт бренда</x:v>
      </x:c>
      <x:c r="F48" s="18" t="str">
        <x:v>Главный инженер / руководитель производства / финансовый директор</x:v>
      </x:c>
      <x:c r="G48" s="30" t="str">
        <x:v>https://dulcinella.md/ro/content/despre-noi</x:v>
      </x:c>
    </x:row>
    <x:row r="49" ht="68" customHeight="1">
      <x:c r="A49" s="24" t="str">
        <x:v>E43</x:v>
      </x:c>
      <x:c r="B49" s="25" t="str">
        <x:v>CAHULPAN SA</x:v>
      </x:c>
      <x:c r="C49" s="31" t="str">
        <x:v>+373 299 41178; +373 299 41418</x:v>
      </x:c>
      <x:c r="D49" s="31" t="str">
        <x:v>office@cahulpan.com</x:v>
      </x:c>
      <x:c r="E49" s="24" t="str">
        <x:v>Офис предприятия</x:v>
      </x:c>
      <x:c r="F49" s="24" t="str">
        <x:v>Главный инженер / руководитель производства / финансовый директор</x:v>
      </x:c>
      <x:c r="G49" s="29" t="str">
        <x:v>https://cahulpan.com/despre/</x:v>
      </x:c>
    </x:row>
    <x:row r="50" ht="68" customHeight="1">
      <x:c r="A50" s="18" t="str">
        <x:v>E44</x:v>
      </x:c>
      <x:c r="B50" s="26" t="str">
        <x:v>NEFIS SRL</x:v>
      </x:c>
      <x:c r="C50" s="32" t="str">
        <x:v>+373 237 44000</x:v>
      </x:c>
      <x:c r="D50" s="32" t="str">
        <x:v>nefis@nefis.md</x:v>
      </x:c>
      <x:c r="E50" s="18" t="str">
        <x:v>Контакт производителя в AmCham</x:v>
      </x:c>
      <x:c r="F50" s="18" t="str">
        <x:v>Главный инженер / руководитель производства / финансовый директор</x:v>
      </x:c>
      <x:c r="G50" s="30" t="str">
        <x:v>https://amcham.md/?go=members&amp;m=86&amp;sub=members</x:v>
      </x:c>
    </x:row>
    <x:row r="51" ht="68" customHeight="1">
      <x:c r="A51" s="24" t="str">
        <x:v>E45</x:v>
      </x:c>
      <x:c r="B51" s="25" t="str">
        <x:v>SANDRILIONA SRL / Sandra</x:v>
      </x:c>
      <x:c r="C51" s="31" t="str">
        <x:v>+373 22 729 971</x:v>
      </x:c>
      <x:c r="D51" s="31" t="str">
        <x:v>office@sandriliona.md</x:v>
      </x:c>
      <x:c r="E51" s="24" t="str">
        <x:v>Офис Sandriliona</x:v>
      </x:c>
      <x:c r="F51" s="24" t="str">
        <x:v>Главный инженер / руководитель производства / финансовый директор</x:v>
      </x:c>
      <x:c r="G51" s="29" t="str">
        <x:v>https://www.sandra.md/contacts</x:v>
      </x:c>
    </x:row>
    <x:row r="52" ht="68" customHeight="1">
      <x:c r="A52" s="18" t="str">
        <x:v>E46</x:v>
      </x:c>
      <x:c r="B52" s="26" t="str">
        <x:v>PEGAS-BAKERY SRL</x:v>
      </x:c>
      <x:c r="C52" s="32" t="str">
        <x:v>Не найден открытый полный номер</x:v>
      </x:c>
      <x:c r="D52" s="32" t="str">
        <x:v>Не найден</x:v>
      </x:c>
      <x:c r="E52" s="18" t="str">
        <x:v>Публичный справочник; полный контакт закрыт</x:v>
      </x:c>
      <x:c r="F52" s="18" t="str">
        <x:v>Главный инженер / руководитель производства / финансовый директор</x:v>
      </x:c>
      <x:c r="G52" s="30" t="str">
        <x:v>https://indice.md/company/171192/</x:v>
      </x:c>
    </x:row>
    <x:row r="53" ht="68" customHeight="1">
      <x:c r="A53" s="24" t="str">
        <x:v>E47</x:v>
      </x:c>
      <x:c r="B53" s="25" t="str">
        <x:v>LAPMOL SRL</x:v>
      </x:c>
      <x:c r="C53" s="31" t="str">
        <x:v>+373 22 410 765</x:v>
      </x:c>
      <x:c r="D53" s="31" t="str">
        <x:v>reception@lapmol.md</x:v>
      </x:c>
      <x:c r="E53" s="24" t="str">
        <x:v>Офис предприятия</x:v>
      </x:c>
      <x:c r="F53" s="24" t="str">
        <x:v>Главный инженер / руководитель производства / финансовый директор</x:v>
      </x:c>
      <x:c r="G53" s="29" t="str">
        <x:v>https://lapmol.md/site/feedback</x:v>
      </x:c>
    </x:row>
    <x:row r="54" ht="68" customHeight="1">
      <x:c r="A54" s="18" t="str">
        <x:v>E48</x:v>
      </x:c>
      <x:c r="B54" s="26" t="str">
        <x:v>LACTIS SA</x:v>
      </x:c>
      <x:c r="C54" s="32" t="str">
        <x:v>+373 256 28644</x:v>
      </x:c>
      <x:c r="D54" s="32" t="str">
        <x:v>info@lactis.md</x:v>
      </x:c>
      <x:c r="E54" s="18" t="str">
        <x:v>Центральный офис</x:v>
      </x:c>
      <x:c r="F54" s="18" t="str">
        <x:v>Главный инженер / руководитель производства / финансовый директор</x:v>
      </x:c>
      <x:c r="G54" s="30" t="str">
        <x:v>https://www.lactis.md/contact</x:v>
      </x:c>
    </x:row>
    <x:row r="55" ht="68" customHeight="1">
      <x:c r="A55" s="24" t="str">
        <x:v>E49</x:v>
      </x:c>
      <x:c r="B55" s="25" t="str">
        <x:v>NIVALI-PROD SRL / Nivalli</x:v>
      </x:c>
      <x:c r="C55" s="31" t="str">
        <x:v>+373 68 855 858</x:v>
      </x:c>
      <x:c r="D55" s="31" t="str">
        <x:v>office@nivalli.md</x:v>
      </x:c>
      <x:c r="E55" s="24" t="str">
        <x:v>Офис компании</x:v>
      </x:c>
      <x:c r="F55" s="24" t="str">
        <x:v>Главный инженер / руководитель производства / финансовый директор</x:v>
      </x:c>
      <x:c r="G55" s="29" t="str">
        <x:v>https://www.nivalli.md/contact-us/</x:v>
      </x:c>
    </x:row>
    <x:row r="56" ht="68" customHeight="1">
      <x:c r="A56" s="18" t="str">
        <x:v>E50</x:v>
      </x:c>
      <x:c r="B56" s="26" t="str">
        <x:v>Combinatul de Vinuri CRICOVA SA</x:v>
      </x:c>
      <x:c r="C56" s="32" t="str">
        <x:v>+373 237 22671</x:v>
      </x:c>
      <x:c r="D56" s="32" t="str">
        <x:v>office@cricova.md</x:v>
      </x:c>
      <x:c r="E56" s="18" t="str">
        <x:v>Офис, контакт APP</x:v>
      </x:c>
      <x:c r="F56" s="18" t="str">
        <x:v>Главный инженер / руководитель производства / финансовый директор</x:v>
      </x:c>
      <x:c r="G56" s="30" t="str">
        <x:v>https://app.gov.md/companies/combinatul-de-vinuri-cricova/</x:v>
      </x:c>
    </x:row>
    <x:row r="57" ht="68" customHeight="1">
      <x:c r="A57" s="24" t="str">
        <x:v>E51</x:v>
      </x:c>
      <x:c r="B57" s="25" t="str">
        <x:v>BARZA ALBĂ SA</x:v>
      </x:c>
      <x:c r="C57" s="31" t="str">
        <x:v>+373 231 30285</x:v>
      </x:c>
      <x:c r="D57" s="31" t="str">
        <x:v>ba@mtc.md</x:v>
      </x:c>
      <x:c r="E57" s="24" t="str">
        <x:v>Офис, контакт APP</x:v>
      </x:c>
      <x:c r="F57" s="24" t="str">
        <x:v>Главный инженер / руководитель производства / финансовый директор</x:v>
      </x:c>
      <x:c r="G57" s="29" t="str">
        <x:v>https://app.gov.md/companies/barza-alba/</x:v>
      </x:c>
    </x:row>
    <x:row r="58" ht="68" customHeight="1">
      <x:c r="A58" s="18" t="str">
        <x:v>E52</x:v>
      </x:c>
      <x:c r="B58" s="26" t="str">
        <x:v>Rusnac-MoldAqua / Aquatrade</x:v>
      </x:c>
      <x:c r="C58" s="32" t="str">
        <x:v>+373 22 907 070</x:v>
      </x:c>
      <x:c r="D58" s="32" t="str">
        <x:v>info@aquatrade.md</x:v>
      </x:c>
      <x:c r="E58" s="18" t="str">
        <x:v>Общий контакт группы</x:v>
      </x:c>
      <x:c r="F58" s="18" t="str">
        <x:v>Главный инженер / руководитель производства / финансовый директор</x:v>
      </x:c>
      <x:c r="G58" s="30" t="str">
        <x:v>https://aquatrade.md/contacte/</x:v>
      </x:c>
    </x:row>
    <x:row r="59" ht="68" customHeight="1">
      <x:c r="A59" s="24" t="str">
        <x:v>E53</x:v>
      </x:c>
      <x:c r="B59" s="25" t="str">
        <x:v>Château Vartely SRL</x:v>
      </x:c>
      <x:c r="C59" s="31" t="str">
        <x:v>+373 235 31013</x:v>
      </x:c>
      <x:c r="D59" s="31" t="str">
        <x:v>office@vartely.md; referent@vartely.md</x:v>
      </x:c>
      <x:c r="E59" s="24" t="str">
        <x:v>Винодельня / центральный офис</x:v>
      </x:c>
      <x:c r="F59" s="24" t="str">
        <x:v>Главный инженер / руководитель производства / финансовый директор</x:v>
      </x:c>
      <x:c r="G59" s="29" t="str">
        <x:v>https://vartely.md/contacte/</x:v>
      </x:c>
    </x:row>
    <x:row r="60" ht="68" customHeight="1">
      <x:c r="A60" s="18" t="str">
        <x:v>E54</x:v>
      </x:c>
      <x:c r="B60" s="26" t="str">
        <x:v>Castel Mimi</x:v>
      </x:c>
      <x:c r="C60" s="32" t="str">
        <x:v>+373 265 01893</x:v>
      </x:c>
      <x:c r="D60" s="32" t="str">
        <x:v>Форма на сайте</x:v>
      </x:c>
      <x:c r="E60" s="18" t="str">
        <x:v>Ресепшен / туризм; запросить администрацию винодельни</x:v>
      </x:c>
      <x:c r="F60" s="18" t="str">
        <x:v>Главный инженер / руководитель производства / финансовый директор</x:v>
      </x:c>
      <x:c r="G60" s="30" t="str">
        <x:v>https://castelmimi.md/contacte/</x:v>
      </x:c>
    </x:row>
    <x:row r="61" ht="68" customHeight="1">
      <x:c r="A61" s="24" t="str">
        <x:v>E55</x:v>
      </x:c>
      <x:c r="B61" s="25" t="str">
        <x:v>ASCONI SRL</x:v>
      </x:c>
      <x:c r="C61" s="31" t="str">
        <x:v>+373 79 988 637</x:v>
      </x:c>
      <x:c r="D61" s="31" t="str">
        <x:v>asconi@asconi.md</x:v>
      </x:c>
      <x:c r="E61" s="24" t="str">
        <x:v>Общий контакт винодельни / бронирование</x:v>
      </x:c>
      <x:c r="F61" s="24" t="str">
        <x:v>Главный инженер / руководитель производства / финансовый директор</x:v>
      </x:c>
      <x:c r="G61" s="29" t="str">
        <x:v>https://asconiwinery.com/ro/</x:v>
      </x:c>
    </x:row>
    <x:row r="62" ht="68" customHeight="1">
      <x:c r="A62" s="18" t="str">
        <x:v>E56</x:v>
      </x:c>
      <x:c r="B62" s="26" t="str">
        <x:v>VINĂRIA PURCARI SRL</x:v>
      </x:c>
      <x:c r="C62" s="32" t="str">
        <x:v>+373 22 856 022</x:v>
      </x:c>
      <x:c r="D62" s="32" t="str">
        <x:v>Форма на сайте</x:v>
      </x:c>
      <x:c r="E62" s="18" t="str">
        <x:v>Центральный офис группы</x:v>
      </x:c>
      <x:c r="F62" s="18" t="str">
        <x:v>Главный инженер / руководитель производства / финансовый директор</x:v>
      </x:c>
      <x:c r="G62" s="30" t="str">
        <x:v>https://purcariwineries.com/contacte/</x:v>
      </x:c>
    </x:row>
    <x:row r="63" ht="68" customHeight="1">
      <x:c r="A63" s="24" t="str">
        <x:v>E57</x:v>
      </x:c>
      <x:c r="B63" s="25" t="str">
        <x:v>Südzucker Moldova</x:v>
      </x:c>
      <x:c r="C63" s="31" t="str">
        <x:v>+373 252 28010; +373 22 202333</x:v>
      </x:c>
      <x:c r="D63" s="31" t="str">
        <x:v>info@szm.md</x:v>
      </x:c>
      <x:c r="E63" s="24" t="str">
        <x:v>Завод / офис</x:v>
      </x:c>
      <x:c r="F63" s="24" t="str">
        <x:v>Главный инженер / руководитель производства / финансовый директор</x:v>
      </x:c>
      <x:c r="G63" s="29" t="str">
        <x:v>https://suedzucker.md/ro/contacts</x:v>
      </x:c>
    </x:row>
    <x:row r="64" ht="68" customHeight="1">
      <x:c r="A64" s="18" t="str">
        <x:v>E58</x:v>
      </x:c>
      <x:c r="B64" s="26" t="str">
        <x:v>VEFASISTEM-COMPANIE SRL</x:v>
      </x:c>
      <x:c r="C64" s="32" t="str">
        <x:v>+373 22 955555; +373 231 94030</x:v>
      </x:c>
      <x:c r="D64" s="32" t="str">
        <x:v>info@vefasistem.md</x:v>
      </x:c>
      <x:c r="E64" s="18" t="str">
        <x:v>Общий контакт производителя</x:v>
      </x:c>
      <x:c r="F64" s="18" t="str">
        <x:v>Главный инженер / руководитель производства / финансовый директор</x:v>
      </x:c>
      <x:c r="G64" s="30" t="str">
        <x:v>https://vefasistem.md/centrul-de-productie/</x:v>
      </x:c>
    </x:row>
    <x:row r="65" ht="68" customHeight="1">
      <x:c r="A65" s="24" t="str">
        <x:v>E59</x:v>
      </x:c>
      <x:c r="B65" s="25" t="str">
        <x:v>MEMILIT SRL</x:v>
      </x:c>
      <x:c r="C65" s="31" t="str">
        <x:v>+373 68 688988; +373 69 765664</x:v>
      </x:c>
      <x:c r="D65" s="31" t="str">
        <x:v>Форма на сайте</x:v>
      </x:c>
      <x:c r="E65" s="24" t="str">
        <x:v>Коммерческий контакт производителя</x:v>
      </x:c>
      <x:c r="F65" s="24" t="str">
        <x:v>Главный инженер / руководитель производства / финансовый директор</x:v>
      </x:c>
      <x:c r="G65" s="29" t="str">
        <x:v>https://pavaj.md/</x:v>
      </x:c>
    </x:row>
    <x:row r="66" ht="68" customHeight="1">
      <x:c r="A66" s="18" t="str">
        <x:v>E60</x:v>
      </x:c>
      <x:c r="B66" s="26" t="str">
        <x:v>PETSIMPLAST SRL</x:v>
      </x:c>
      <x:c r="C66" s="32" t="str">
        <x:v>См. страницу контактов</x:v>
      </x:c>
      <x:c r="D66" s="32" t="str">
        <x:v>info@petsimplast.md</x:v>
      </x:c>
      <x:c r="E66" s="18" t="str">
        <x:v>Общий email компании</x:v>
      </x:c>
      <x:c r="F66" s="18" t="str">
        <x:v>Главный инженер / руководитель производства / финансовый директор</x:v>
      </x:c>
      <x:c r="G66" s="30" t="str">
        <x:v>https://petsimplast.md/contact-us/</x:v>
      </x:c>
    </x:row>
    <x:row r="67" ht="68" customHeight="1">
      <x:c r="A67" s="24" t="str">
        <x:v>E61</x:v>
      </x:c>
      <x:c r="B67" s="25" t="str">
        <x:v>BORICOM SRL</x:v>
      </x:c>
      <x:c r="C67" s="31" t="str">
        <x:v>+373 22 719019</x:v>
      </x:c>
      <x:c r="D67" s="31" t="str">
        <x:v>info@boricom.com</x:v>
      </x:c>
      <x:c r="E67" s="24" t="str">
        <x:v>Коммерческий контакт производителя</x:v>
      </x:c>
      <x:c r="F67" s="24" t="str">
        <x:v>Главный инженер / руководитель производства / финансовый директор</x:v>
      </x:c>
      <x:c r="G67" s="29" t="str">
        <x:v>https://boricom.md/ro/</x:v>
      </x:c>
    </x:row>
    <x:row r="68" ht="68" customHeight="1">
      <x:c r="A68" s="18" t="str">
        <x:v>E62</x:v>
      </x:c>
      <x:c r="B68" s="26" t="str">
        <x:v>DELTAGRAN</x:v>
      </x:c>
      <x:c r="C68" s="32" t="str">
        <x:v>См. сайт</x:v>
      </x:c>
      <x:c r="D68" s="32" t="str">
        <x:v>info@deltagran.md</x:v>
      </x:c>
      <x:c r="E68" s="18" t="str">
        <x:v>Общий коммерческий контакт</x:v>
      </x:c>
      <x:c r="F68" s="18" t="str">
        <x:v>Главный инженер / руководитель производства / финансовый директор</x:v>
      </x:c>
      <x:c r="G68" s="30" t="str">
        <x:v>https://deltagran.md/</x:v>
      </x:c>
    </x:row>
    <x:row r="69" ht="68" customHeight="1">
      <x:c r="A69" s="24" t="str">
        <x:v>E63</x:v>
      </x:c>
      <x:c r="B69" s="25" t="str">
        <x:v>ÎS Fabrica de Sticlă din Chișinău</x:v>
      </x:c>
      <x:c r="C69" s="31" t="str">
        <x:v>+373 22 473926</x:v>
      </x:c>
      <x:c r="D69" s="31" t="str">
        <x:v>office@glass.md</x:v>
      </x:c>
      <x:c r="E69" s="24" t="str">
        <x:v>Офис завода, источник APP</x:v>
      </x:c>
      <x:c r="F69" s="24" t="str">
        <x:v>Главный инженер / руководитель производства / финансовый директор</x:v>
      </x:c>
      <x:c r="G69" s="29" t="str">
        <x:v>https://app.gov.md/companies/fabrica-de-sticla-din-chisinau/</x:v>
      </x:c>
    </x:row>
    <x:row r="70" ht="68" customHeight="1">
      <x:c r="A70" s="18" t="str">
        <x:v>E64</x:v>
      </x:c>
      <x:c r="B70" s="26" t="str">
        <x:v>VIORICA-COSMETIC SA</x:v>
      </x:c>
      <x:c r="C70" s="32" t="str">
        <x:v>+373 22 748950</x:v>
      </x:c>
      <x:c r="D70" s="32" t="str">
        <x:v>contact@viorica.md</x:v>
      </x:c>
      <x:c r="E70" s="18" t="str">
        <x:v>Приёмная производителя</x:v>
      </x:c>
      <x:c r="F70" s="18" t="str">
        <x:v>Главный инженер / руководитель производства / финансовый директор</x:v>
      </x:c>
      <x:c r="G70" s="30" t="str">
        <x:v>https://viorica.md/pages/contact</x:v>
      </x:c>
    </x:row>
    <x:row r="71" ht="68" customHeight="1">
      <x:c r="A71" s="24" t="str">
        <x:v>E65</x:v>
      </x:c>
      <x:c r="B71" s="25" t="str">
        <x:v>Balkan Pharmaceuticals SRL</x:v>
      </x:c>
      <x:c r="C71" s="31" t="str">
        <x:v>+373 22 536160</x:v>
      </x:c>
      <x:c r="D71" s="31" t="str">
        <x:v>Форма на сайте</x:v>
      </x:c>
      <x:c r="E71" s="24" t="str">
        <x:v>Номер также прямо обозначен как офис и бухгалтерия</x:v>
      </x:c>
      <x:c r="F71" s="24" t="str">
        <x:v>Главный инженер / руководитель производства / финансовый директор</x:v>
      </x:c>
      <x:c r="G71" s="29" t="str">
        <x:v>https://balkanpharmaceuticals.com/ro/contacte.html</x:v>
      </x:c>
    </x:row>
    <x:row r="72" ht="68" customHeight="1">
      <x:c r="A72" s="18" t="str">
        <x:v>E66</x:v>
      </x:c>
      <x:c r="B72" s="26" t="str">
        <x:v>Eurofarmaco SA</x:v>
      </x:c>
      <x:c r="C72" s="32" t="str">
        <x:v>+373 268 76061</x:v>
      </x:c>
      <x:c r="D72" s="32" t="str">
        <x:v>office@eurofarmaco.md</x:v>
      </x:c>
      <x:c r="E72" s="18" t="str">
        <x:v>Исторический контакт из документа 2016 года; требуется актуализация</x:v>
      </x:c>
      <x:c r="F72" s="18" t="str">
        <x:v>Главный инженер / руководитель производства / финансовый директор</x:v>
      </x:c>
      <x:c r="G72" s="30" t="str">
        <x:v>https://storage.mtender.gov.md/get/8565d9fd-653b-4995-b9db-f15f7b10ceb7-1542223480238</x:v>
      </x:c>
    </x:row>
    <x:row r="73" ht="68" customHeight="1">
      <x:c r="A73" s="24" t="str">
        <x:v>E67</x:v>
      </x:c>
      <x:c r="B73" s="25" t="str">
        <x:v>Fabrica de Confecții IONEL SA</x:v>
      </x:c>
      <x:c r="C73" s="31" t="str">
        <x:v>+373 22 858811</x:v>
      </x:c>
      <x:c r="D73" s="31" t="str">
        <x:v>partners@ionel.md</x:v>
      </x:c>
      <x:c r="E73" s="24" t="str">
        <x:v>Приёмная / закупочный контакт из объявления 2023 года; актуализировать</x:v>
      </x:c>
      <x:c r="F73" s="24" t="str">
        <x:v>Главный инженер / руководитель производства / финансовый директор</x:v>
      </x:c>
      <x:c r="G73" s="29" t="str">
        <x:v>https://ionel.md/anunt-de-participare/</x:v>
      </x:c>
    </x:row>
    <x:row r="74" ht="68" customHeight="1">
      <x:c r="A74" s="18" t="str">
        <x:v>E68</x:v>
      </x:c>
      <x:c r="B74" s="26" t="str">
        <x:v>TRICON SA</x:v>
      </x:c>
      <x:c r="C74" s="32" t="str">
        <x:v>+373 299 24505</x:v>
      </x:c>
      <x:c r="D74" s="32" t="str">
        <x:v>Не найден актуальный email</x:v>
      </x:c>
      <x:c r="E74" s="18" t="str">
        <x:v>Контакт производителя в Madein</x:v>
      </x:c>
      <x:c r="F74" s="18" t="str">
        <x:v>Главный инженер / руководитель производства / финансовый директор</x:v>
      </x:c>
      <x:c r="G74" s="30" t="str">
        <x:v>https://madein.md/tricon</x:v>
      </x:c>
    </x:row>
    <x:row r="75" ht="68" customHeight="1">
      <x:c r="A75" s="24" t="str">
        <x:v>E69</x:v>
      </x:c>
      <x:c r="B75" s="25" t="str">
        <x:v>GG Cables &amp; Wires EE SRL</x:v>
      </x:c>
      <x:c r="C75" s="31" t="str">
        <x:v>+373 231 89300</x:v>
      </x:c>
      <x:c r="D75" s="31" t="str">
        <x:v>См. сайт группы</x:v>
      </x:c>
      <x:c r="E75" s="24" t="str">
        <x:v>Телефон молдавских заводов CM1/CM2</x:v>
      </x:c>
      <x:c r="F75" s="24" t="str">
        <x:v>Главный инженер / руководитель производства / финансовый директор</x:v>
      </x:c>
      <x:c r="G75" s="29" t="str">
        <x:v>https://www.gg-group.com/en/company/locations/emea</x:v>
      </x:c>
    </x:row>
    <x:row r="76" ht="68" customHeight="1">
      <x:c r="A76" s="18" t="str">
        <x:v>E70</x:v>
      </x:c>
      <x:c r="B76" s="26" t="str">
        <x:v>DRÄXLMAIER Moldova</x:v>
      </x:c>
      <x:c r="C76" s="32" t="str">
        <x:v>+373 231 91123</x:v>
      </x:c>
      <x:c r="D76" s="32" t="str">
        <x:v>Press-Moldova@draexlmaier.com</x:v>
      </x:c>
      <x:c r="E76" s="18" t="str">
        <x:v>Публичный контакт imprint / коммуникации; требуется контакт закупок</x:v>
      </x:c>
      <x:c r="F76" s="18" t="str">
        <x:v>Главный инженер / руководитель производства / финансовый директор</x:v>
      </x:c>
      <x:c r="G76" s="30" t="str">
        <x:v>https://www.draexlmaier.com/md/imprint</x:v>
      </x:c>
    </x:row>
    <x:row r="77" ht="68" customHeight="1">
      <x:c r="A77" s="24" t="str">
        <x:v>E71</x:v>
      </x:c>
      <x:c r="B77" s="25" t="str">
        <x:v>Laverin Group</x:v>
      </x:c>
      <x:c r="C77" s="31" t="str">
        <x:v>+373 79 952343</x:v>
      </x:c>
      <x:c r="D77" s="31" t="str">
        <x:v>contact@laverin.com</x:v>
      </x:c>
      <x:c r="E77" s="24" t="str">
        <x:v>Общий контакт прачечной</x:v>
      </x:c>
      <x:c r="F77" s="24" t="str">
        <x:v>Главный инженер / руководитель производства / финансовый директор</x:v>
      </x:c>
      <x:c r="G77" s="29" t="str">
        <x:v>https://laverin-group.com/</x:v>
      </x:c>
    </x:row>
    <x:row r="78" ht="68" customHeight="1">
      <x:c r="A78" s="18" t="str">
        <x:v>E72</x:v>
      </x:c>
      <x:c r="B78" s="26" t="str">
        <x:v>Wash &amp; Dry</x:v>
      </x:c>
      <x:c r="C78" s="32" t="str">
        <x:v>+373 79 480882; +373 60 976555</x:v>
      </x:c>
      <x:c r="D78" s="32" t="str">
        <x:v>info@washdry.md</x:v>
      </x:c>
      <x:c r="E78" s="18" t="str">
        <x:v>Офис / директор по странице компании</x:v>
      </x:c>
      <x:c r="F78" s="18" t="str">
        <x:v>Главный инженер / руководитель производства / финансовый директор</x:v>
      </x:c>
      <x:c r="G78" s="30" t="str">
        <x:v>https://washdry.md/contacteaza-ne/</x:v>
      </x:c>
    </x:row>
    <x:row r="79" ht="68" customHeight="1">
      <x:c r="A79" s="24" t="str">
        <x:v>E73</x:v>
      </x:c>
      <x:c r="B79" s="25" t="str">
        <x:v>ABS Recycling</x:v>
      </x:c>
      <x:c r="C79" s="31" t="str">
        <x:v>+373 60 777913</x:v>
      </x:c>
      <x:c r="D79" s="31" t="str">
        <x:v>absreciclare@gmail.com</x:v>
      </x:c>
      <x:c r="E79" s="24" t="str">
        <x:v>Общий контакт компании на главной странице</x:v>
      </x:c>
      <x:c r="F79" s="24" t="str">
        <x:v>Главный инженер / руководитель производства / финансовый директор</x:v>
      </x:c>
      <x:c r="G79" s="29" t="str">
        <x:v>https://abs.md/</x:v>
      </x:c>
    </x:row>
    <x:row r="80" ht="68" customHeight="1">
      <x:c r="A80" s="18" t="str">
        <x:v>E74</x:v>
      </x:c>
      <x:c r="B80" s="26" t="str">
        <x:v>Aquaterra</x:v>
      </x:c>
      <x:c r="C80" s="32" t="str">
        <x:v>+373 22 628000</x:v>
      </x:c>
      <x:c r="D80" s="32" t="str">
        <x:v>Форма на сайте</x:v>
      </x:c>
      <x:c r="E80" s="18" t="str">
        <x:v>Общий call-центр; запросить техническую службу</x:v>
      </x:c>
      <x:c r="F80" s="18" t="str">
        <x:v>Главный инженер / руководитель производства / финансовый директор</x:v>
      </x:c>
      <x:c r="G80" s="30" t="str">
        <x:v>https://aquaterra.md/ro</x:v>
      </x:c>
    </x:row>
    <x:row r="81" ht="68" customHeight="1">
      <x:c r="A81" s="24" t="str">
        <x:v>E75</x:v>
      </x:c>
      <x:c r="B81" s="25" t="str">
        <x:v>Medpark</x:v>
      </x:c>
      <x:c r="C81" s="31" t="str">
        <x:v>+373 22 400040</x:v>
      </x:c>
      <x:c r="D81" s="31" t="str">
        <x:v>info@medpark.md</x:v>
      </x:c>
      <x:c r="E81" s="24" t="str">
        <x:v>Общий контакт госпиталя из официальной поисковой выдачи; не закупки</x:v>
      </x:c>
      <x:c r="F81" s="24" t="str">
        <x:v>Главный инженер / руководитель производства / финансовый директор</x:v>
      </x:c>
      <x:c r="G81" s="29" t="str">
        <x:v>https://www.medpark.md/services/medicina-urgenta-pediatrica/</x:v>
      </x:c>
    </x:row>
    <x:row r="82" ht="68" customHeight="1">
      <x:c r="A82" s="18" t="str">
        <x:v>E77</x:v>
      </x:c>
      <x:c r="B82" s="26" t="str">
        <x:v>BERD'S Hotel</x:v>
      </x:c>
      <x:c r="C82" s="32" t="str">
        <x:v>+373 22 022222</x:v>
      </x:c>
      <x:c r="D82" s="32" t="str">
        <x:v>info@berdshotel.com</x:v>
      </x:c>
      <x:c r="E82" s="18" t="str">
        <x:v>Общий контакт отеля</x:v>
      </x:c>
      <x:c r="F82" s="18" t="str">
        <x:v>Главный инженер / руководитель производства / финансовый директор</x:v>
      </x:c>
      <x:c r="G82" s="30" t="str">
        <x:v>https://berdshotel.com/en/contacts/</x:v>
      </x:c>
    </x:row>
    <x:row r="83" ht="68" customHeight="1">
      <x:c r="A83" s="24" t="str">
        <x:v>E78</x:v>
      </x:c>
      <x:c r="B83" s="25" t="str">
        <x:v>METRO Cash &amp; Carry Moldova SRL</x:v>
      </x:c>
      <x:c r="C83" s="31" t="str">
        <x:v>+373 22 405203</x:v>
      </x:c>
      <x:c r="D83" s="31" t="str">
        <x:v>info@metro.md</x:v>
      </x:c>
      <x:c r="E83" s="24" t="str">
        <x:v>Центральный офис</x:v>
      </x:c>
      <x:c r="F83" s="24" t="str">
        <x:v>Главный инженер / руководитель производства / финансовый директор</x:v>
      </x:c>
      <x:c r="G83" s="29" t="str">
        <x:v>https://www.metro.md/contacte-metro</x:v>
      </x:c>
    </x:row>
    <x:row r="84" ht="68" customHeight="1">
      <x:c r="A84" s="18" t="str">
        <x:v>E79</x:v>
      </x:c>
      <x:c r="B84" s="26" t="str">
        <x:v>MOLDRETAIL GROUP SRL / Linella</x:v>
      </x:c>
      <x:c r="C84" s="32" t="str">
        <x:v>+373 30 001515</x:v>
      </x:c>
      <x:c r="D84" s="32" t="str">
        <x:v>relatiiclienti@linella.md</x:v>
      </x:c>
      <x:c r="E84" s="18" t="str">
        <x:v>Клиентский канал; нужен выход на управление объектами / закупки</x:v>
      </x:c>
      <x:c r="F84" s="18" t="str">
        <x:v>Главный инженер / руководитель производства / финансовый директор</x:v>
      </x:c>
      <x:c r="G84" s="30" t="str">
        <x:v>https://linella.md/ro/contacte</x:v>
      </x:c>
    </x:row>
    <x:row r="85" ht="68" customHeight="1">
      <x:c r="A85" s="24" t="str">
        <x:v>E80</x:v>
      </x:c>
      <x:c r="B85" s="25" t="str">
        <x:v>IUVAS SRL</x:v>
      </x:c>
      <x:c r="C85" s="31" t="str">
        <x:v>+373 22 478029; +373 60 322355</x:v>
      </x:c>
      <x:c r="D85" s="31" t="str">
        <x:v>Форма на сайте</x:v>
      </x:c>
      <x:c r="E85" s="24" t="str">
        <x:v>Общий коммерческий контакт</x:v>
      </x:c>
      <x:c r="F85" s="24" t="str">
        <x:v>Главный инженер / руководитель производства / финансовый директор</x:v>
      </x:c>
      <x:c r="G85" s="29" t="str">
        <x:v>https://iuvas.com/contacte/</x:v>
      </x:c>
    </x:row>
    <x:row r="86" ht="68" customHeight="1">
      <x:c r="A86" s="18" t="str">
        <x:v>E81</x:v>
      </x:c>
      <x:c r="B86" s="26" t="str">
        <x:v>MOLLTEX GROUP SRL</x:v>
      </x:c>
      <x:c r="C86" s="32" t="str">
        <x:v>+373 68 795500</x:v>
      </x:c>
      <x:c r="D86" s="32" t="str">
        <x:v>hr@molltexgroup.md</x:v>
      </x:c>
      <x:c r="E86" s="18" t="str">
        <x:v>HR из объявления работодателя; только вход для уточнения общего контакта</x:v>
      </x:c>
      <x:c r="F86" s="18" t="str">
        <x:v>Главный инженер / руководитель производства / финансовый директор</x:v>
      </x:c>
      <x:c r="G86" s="30" t="str">
        <x:v>https://nord.rabota.md/ro/locuri-de-munca/operator-operatoare-la-masini-si-utilaje-pentru-industria-confectiilor-utilaj-de-umplere-cu-puf/75203</x:v>
      </x:c>
    </x:row>
  </x:sheetData>
  <x:pageMargins left="0.7" right="0.7" top="0.75" bottom="0.75" header="0.3" footer="0.3"/>
  <x:tableParts count="1">
    <x:tablePart xmlns:r="http://schemas.openxmlformats.org/officeDocument/2006/relationships" r:id="R8c0b155bfadc41ef"/>
  </x:tableParts>
</x:worksheet>
</file>

<file path=xl/worksheets/sheet4.xml><?xml version="1.0" encoding="utf-8"?>
<x:worksheet xmlns:x="http://schemas.openxmlformats.org/spreadsheetml/2006/main">
  <x:sheetPr>
    <x:tabColor rgb="FF203C5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" hidden="0" customWidth="1"/>
    <x:col min="2" max="2" width="32" hidden="0" customWidth="1"/>
    <x:col min="3" max="3" width="11" hidden="0" customWidth="1"/>
    <x:col min="4" max="4" width="23" hidden="0" customWidth="1"/>
    <x:col min="5" max="5" width="16" hidden="0" customWidth="1"/>
    <x:col min="6" max="6" width="23" hidden="0" customWidth="1"/>
    <x:col min="7" max="7" width="22" hidden="0" customWidth="1"/>
    <x:col min="8" max="8" width="45" hidden="0" customWidth="1"/>
    <x:col min="9" max="9" width="68" hidden="0" customWidth="1"/>
    <x:col min="10" max="10" width="8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3" t="str">
        <x:v>Обороты и масштаб · 25 компаний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8" customHeight="1">
      <x:c r="A3" s="4" t="str">
        <x:v>MDL, год указан отдельно. 4 первичных источника APP; остальные — деловые справочники. Финансовые отчёты агрегаторов не сверялись.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 t="str">
        <x:v>Формула: 30 000 × 12 / годовая выручка. Она показывает, какой доли оборота достаточно для достижения порога; это не оценка фактического счёта.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 t="str">
        <x:v>Sandriliona: 2024 год. Barza Albă: таблица в тысячах MDL. Purcari: округление до 0,01 млн. Выручка юрлица может включать торговлю и несколько площадок.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45" customHeight="1">
      <x:c r="A6" s="22" t="str">
        <x:v>ID</x:v>
      </x:c>
      <x:c r="B6" s="22" t="str">
        <x:v>Предприятие</x:v>
      </x:c>
      <x:c r="C6" s="22" t="str">
        <x:v>Год</x:v>
      </x:c>
      <x:c r="D6" s="22" t="str">
        <x:v>Выручка, MDL</x:v>
      </x:c>
      <x:c r="E6" s="22" t="str">
        <x:v>Сотрудников</x:v>
      </x:c>
      <x:c r="F6" s="22" t="str">
        <x:v>Годовой порог / выручка</x:v>
      </x:c>
      <x:c r="G6" s="22" t="str">
        <x:v>IDNO</x:v>
      </x:c>
      <x:c r="H6" s="22" t="str">
        <x:v>Тип финансового источника</x:v>
      </x:c>
      <x:c r="I6" s="22" t="str">
        <x:v>Ограничение / охват</x:v>
      </x:c>
      <x:c r="J6" s="22" t="str">
        <x:v>Источник финансов</x:v>
      </x:c>
    </x:row>
    <x:row r="7" ht="77" customHeight="1">
      <x:c r="A7" s="24" t="str">
        <x:v>E06</x:v>
      </x:c>
      <x:c r="B7" s="25" t="str">
        <x:v>Moldagrotehnica</x:v>
      </x:c>
      <x:c r="C7" s="37" t="n">
        <x:v>2025</x:v>
      </x:c>
      <x:c r="D7" s="39" t="n">
        <x:v>17207967</x:v>
      </x:c>
      <x:c r="E7" s="40" t="n">
        <x:v>51</x:v>
      </x:c>
      <x:c r="F7" s="41" t="n">
        <x:f>'Старт'!$B$6/D7</x:f>
        <x:v>0.020920542211639526</x:v>
      </x:c>
      <x:c r="G7" s="31" t="str">
        <x:v>1003602000516</x:v>
      </x:c>
      <x:c r="H7" s="24" t="str">
        <x:v>Агрегатор indice.md; первичный отчёт не сверялся</x:v>
      </x:c>
      <x:c r="I7" s="24" t="str">
        <x:v>В справочнике противоречат словесное описание деятельности и код C2830; производство подтверждается собственным сайтом. Финансы требуют сверки.</x:v>
      </x:c>
      <x:c r="J7" s="29" t="str">
        <x:v>https://indice.md/company/274080/</x:v>
      </x:c>
    </x:row>
    <x:row r="8" ht="77" customHeight="1">
      <x:c r="A8" s="18" t="str">
        <x:v>E23</x:v>
      </x:c>
      <x:c r="B8" s="26" t="str">
        <x:v>Rogob</x:v>
      </x:c>
      <x:c r="C8" s="38" t="n">
        <x:v>2025</x:v>
      </x:c>
      <x:c r="D8" s="42" t="n">
        <x:v>1579722861</x:v>
      </x:c>
      <x:c r="E8" s="43" t="str">
        <x:v>—</x:v>
      </x:c>
      <x:c r="F8" s="44" t="n">
        <x:f>'Старт'!$B$6/D8</x:f>
        <x:v>0.00022788807384360567</x:v>
      </x:c>
      <x:c r="G8" s="32" t="str">
        <x:v>1003600043207</x:v>
      </x:c>
      <x:c r="H8" s="18" t="str">
        <x:v>Агрегатор indice.md; первичный отчёт не сверялся</x:v>
      </x:c>
      <x:c r="I8" s="18" t="str">
        <x:v>Выручка юридического лица; не расход электричества</x:v>
      </x:c>
      <x:c r="J8" s="30" t="str">
        <x:v>https://indice.md/company/19328/</x:v>
      </x:c>
    </x:row>
    <x:row r="9" ht="77" customHeight="1">
      <x:c r="A9" s="24" t="str">
        <x:v>E24</x:v>
      </x:c>
      <x:c r="B9" s="25" t="str">
        <x:v>Orhei-Vit</x:v>
      </x:c>
      <x:c r="C9" s="37" t="n">
        <x:v>2025</x:v>
      </x:c>
      <x:c r="D9" s="39" t="n">
        <x:v>717758890</x:v>
      </x:c>
      <x:c r="E9" s="40" t="n">
        <x:v>385</x:v>
      </x:c>
      <x:c r="F9" s="41" t="n">
        <x:f>'Старт'!$B$6/D9</x:f>
        <x:v>0.0005015611858182628</x:v>
      </x:c>
      <x:c r="G9" s="31" t="str">
        <x:v>1003606004176</x:v>
      </x:c>
      <x:c r="H9" s="24" t="str">
        <x:v>Агрегатор indice.md; первичный отчёт не сверялся</x:v>
      </x:c>
      <x:c r="I9" s="24" t="str">
        <x:v>Выручка юридического лица; не расход электричества</x:v>
      </x:c>
      <x:c r="J9" s="29" t="str">
        <x:v>https://indice.md/company/278956/</x:v>
      </x:c>
    </x:row>
    <x:row r="10" ht="77" customHeight="1">
      <x:c r="A10" s="18" t="str">
        <x:v>E37</x:v>
      </x:c>
      <x:c r="B10" s="26" t="str">
        <x:v>Franzeluța SA</x:v>
      </x:c>
      <x:c r="C10" s="38" t="n">
        <x:v>2025</x:v>
      </x:c>
      <x:c r="D10" s="42" t="n">
        <x:v>720978265</x:v>
      </x:c>
      <x:c r="E10" s="43" t="n">
        <x:v>1164</x:v>
      </x:c>
      <x:c r="F10" s="44" t="n">
        <x:f>'Старт'!$B$6/D10</x:f>
        <x:v>0.0004993215710878608</x:v>
      </x:c>
      <x:c r="G10" s="32" t="str">
        <x:v>1002600004030</x:v>
      </x:c>
      <x:c r="H10" s="18" t="str">
        <x:v>Первичный: APP, собственник предприятия</x:v>
      </x:c>
      <x:c r="I10" s="18" t="str">
        <x:v>Выручка юридического лица; не расход электричества</x:v>
      </x:c>
      <x:c r="J10" s="30" t="str">
        <x:v>https://app.gov.md/companies/franzeluta/</x:v>
      </x:c>
    </x:row>
    <x:row r="11" ht="77" customHeight="1">
      <x:c r="A11" s="24" t="str">
        <x:v>E38</x:v>
      </x:c>
      <x:c r="B11" s="25" t="str">
        <x:v>IUGINTERTRANS SA / Milina</x:v>
      </x:c>
      <x:c r="C11" s="37" t="n">
        <x:v>2025</x:v>
      </x:c>
      <x:c r="D11" s="39" t="n">
        <x:v>898599911</x:v>
      </x:c>
      <x:c r="E11" s="40" t="n">
        <x:v>770</x:v>
      </x:c>
      <x:c r="F11" s="41" t="n">
        <x:f>'Старт'!$B$6/D11</x:f>
        <x:v>0.0004006232313103356</x:v>
      </x:c>
      <x:c r="G11" s="31" t="str">
        <x:v>1003610000214</x:v>
      </x:c>
      <x:c r="H11" s="24" t="str">
        <x:v>Агрегатор indice.md; первичный отчёт не сверялся</x:v>
      </x:c>
      <x:c r="I11" s="24" t="str">
        <x:v>Включает несколько направлений бизнеса юрлица, не только хлебозавод или холодильник.</x:v>
      </x:c>
      <x:c r="J11" s="29" t="str">
        <x:v>https://indice.md/company/279188/</x:v>
      </x:c>
    </x:row>
    <x:row r="12" ht="77" customHeight="1">
      <x:c r="A12" s="18" t="str">
        <x:v>E39</x:v>
      </x:c>
      <x:c r="B12" s="26" t="str">
        <x:v>ȘAPTE SPICE SRL (Молдова)</x:v>
      </x:c>
      <x:c r="C12" s="38" t="n">
        <x:v>2025</x:v>
      </x:c>
      <x:c r="D12" s="42" t="n">
        <x:v>482121583</x:v>
      </x:c>
      <x:c r="E12" s="43" t="n">
        <x:v>502</x:v>
      </x:c>
      <x:c r="F12" s="44" t="n">
        <x:f>'Старт'!$B$6/D12</x:f>
        <x:v>0.0007466996141510636</x:v>
      </x:c>
      <x:c r="G12" s="32" t="str">
        <x:v>1014606002907</x:v>
      </x:c>
      <x:c r="H12" s="18" t="str">
        <x:v>Агрегатор indice.md; первичный отчёт не сверялся</x:v>
      </x:c>
      <x:c r="I12" s="18" t="str">
        <x:v>Молдавское SRL; не румынское SA. В справочнике есть расхождение текстового вида деятельности с кодом C1071.</x:v>
      </x:c>
      <x:c r="J12" s="30" t="str">
        <x:v>https://indice.md/company/149687/</x:v>
      </x:c>
    </x:row>
    <x:row r="13" ht="77" customHeight="1">
      <x:c r="A13" s="24" t="str">
        <x:v>E40</x:v>
      </x:c>
      <x:c r="B13" s="25" t="str">
        <x:v>BRODEȚCHI SRL</x:v>
      </x:c>
      <x:c r="C13" s="37" t="n">
        <x:v>2025</x:v>
      </x:c>
      <x:c r="D13" s="39" t="n">
        <x:v>404663046</x:v>
      </x:c>
      <x:c r="E13" s="40" t="n">
        <x:v>660</x:v>
      </x:c>
      <x:c r="F13" s="41" t="n">
        <x:f>'Старт'!$B$6/D13</x:f>
        <x:v>0.0008896290470763669</x:v>
      </x:c>
      <x:c r="G13" s="31" t="str">
        <x:v>1004606001297</x:v>
      </x:c>
      <x:c r="H13" s="24" t="str">
        <x:v>Агрегатор indice.md; первичный отчёт не сверялся</x:v>
      </x:c>
      <x:c r="I13" s="24" t="str">
        <x:v>Выручка юридического лица; не расход электричества</x:v>
      </x:c>
      <x:c r="J13" s="29" t="str">
        <x:v>https://indice.md/company/274550/</x:v>
      </x:c>
    </x:row>
    <x:row r="14" ht="77" customHeight="1">
      <x:c r="A14" s="18" t="str">
        <x:v>E41</x:v>
      </x:c>
      <x:c r="B14" s="26" t="str">
        <x:v>PANILINO SRL</x:v>
      </x:c>
      <x:c r="C14" s="38" t="n">
        <x:v>2025</x:v>
      </x:c>
      <x:c r="D14" s="42" t="n">
        <x:v>136425196</x:v>
      </x:c>
      <x:c r="E14" s="43" t="n">
        <x:v>162</x:v>
      </x:c>
      <x:c r="F14" s="44" t="n">
        <x:f>'Старт'!$B$6/D14</x:f>
        <x:v>0.002638808743217785</x:v>
      </x:c>
      <x:c r="G14" s="32" t="str">
        <x:v>1003600093095</x:v>
      </x:c>
      <x:c r="H14" s="18" t="str">
        <x:v>Агрегатор indice.md; первичный отчёт не сверялся</x:v>
      </x:c>
      <x:c r="I14" s="18" t="str">
        <x:v>Выручка юридического лица; не расход электричества</x:v>
      </x:c>
      <x:c r="J14" s="30" t="str">
        <x:v>https://indice.md/company/261538/</x:v>
      </x:c>
    </x:row>
    <x:row r="15" ht="77" customHeight="1">
      <x:c r="A15" s="24" t="str">
        <x:v>E42</x:v>
      </x:c>
      <x:c r="B15" s="25" t="str">
        <x:v>DULCINELLA SRL</x:v>
      </x:c>
      <x:c r="C15" s="37" t="n">
        <x:v>2025</x:v>
      </x:c>
      <x:c r="D15" s="39" t="n">
        <x:v>136069745</x:v>
      </x:c>
      <x:c r="E15" s="40" t="n">
        <x:v>213</x:v>
      </x:c>
      <x:c r="F15" s="41" t="n">
        <x:f>'Старт'!$B$6/D15</x:f>
        <x:v>0.002645702025825065</x:v>
      </x:c>
      <x:c r="G15" s="31" t="str">
        <x:v>1005600032915</x:v>
      </x:c>
      <x:c r="H15" s="24" t="str">
        <x:v>Агрегатор indice.md; первичный отчёт не сверялся</x:v>
      </x:c>
      <x:c r="I15" s="24" t="str">
        <x:v>Выручка юридического лица; не расход электричества</x:v>
      </x:c>
      <x:c r="J15" s="29" t="str">
        <x:v>https://indice.md/company/9816/</x:v>
      </x:c>
    </x:row>
    <x:row r="16" ht="77" customHeight="1">
      <x:c r="A16" s="18" t="str">
        <x:v>E43</x:v>
      </x:c>
      <x:c r="B16" s="26" t="str">
        <x:v>CAHULPAN SA</x:v>
      </x:c>
      <x:c r="C16" s="38" t="n">
        <x:v>2025</x:v>
      </x:c>
      <x:c r="D16" s="42" t="n">
        <x:v>45229826</x:v>
      </x:c>
      <x:c r="E16" s="43" t="n">
        <x:v>138</x:v>
      </x:c>
      <x:c r="F16" s="44" t="n">
        <x:f>'Старт'!$B$6/D16</x:f>
        <x:v>0.007959349655689589</x:v>
      </x:c>
      <x:c r="G16" s="32" t="str">
        <x:v>1003603007486</x:v>
      </x:c>
      <x:c r="H16" s="18" t="str">
        <x:v>Агрегатор indice.md; первичный отчёт не сверялся</x:v>
      </x:c>
      <x:c r="I16" s="18" t="str">
        <x:v>Выручка юридического лица; не расход электричества</x:v>
      </x:c>
      <x:c r="J16" s="30" t="str">
        <x:v>https://indice.md/company/87570/</x:v>
      </x:c>
    </x:row>
    <x:row r="17" ht="77" customHeight="1">
      <x:c r="A17" s="24" t="str">
        <x:v>E44</x:v>
      </x:c>
      <x:c r="B17" s="25" t="str">
        <x:v>NEFIS SRL</x:v>
      </x:c>
      <x:c r="C17" s="37" t="n">
        <x:v>2025</x:v>
      </x:c>
      <x:c r="D17" s="39" t="n">
        <x:v>266741673</x:v>
      </x:c>
      <x:c r="E17" s="40" t="n">
        <x:v>345</x:v>
      </x:c>
      <x:c r="F17" s="41" t="n">
        <x:f>'Старт'!$B$6/D17</x:f>
        <x:v>0.0013496203872126122</x:v>
      </x:c>
      <x:c r="G17" s="31" t="str">
        <x:v>1003600044307</x:v>
      </x:c>
      <x:c r="H17" s="24" t="str">
        <x:v>Агрегатор indice.md; первичный отчёт не сверялся</x:v>
      </x:c>
      <x:c r="I17" s="24" t="str">
        <x:v>Выручка юридического лица; не расход электричества</x:v>
      </x:c>
      <x:c r="J17" s="29" t="str">
        <x:v>https://indice.md/company/114127/</x:v>
      </x:c>
    </x:row>
    <x:row r="18" ht="77" customHeight="1">
      <x:c r="A18" s="18" t="str">
        <x:v>E45</x:v>
      </x:c>
      <x:c r="B18" s="26" t="str">
        <x:v>SANDRILIONA SRL / Sandra</x:v>
      </x:c>
      <x:c r="C18" s="38" t="n">
        <x:v>2024</x:v>
      </x:c>
      <x:c r="D18" s="42" t="n">
        <x:v>400707041</x:v>
      </x:c>
      <x:c r="E18" s="43" t="n">
        <x:v>266</x:v>
      </x:c>
      <x:c r="F18" s="44" t="n">
        <x:f>'Старт'!$B$6/D18</x:f>
        <x:v>0.0008984119647650514</x:v>
      </x:c>
      <x:c r="G18" s="32" t="str">
        <x:v>1002600006621</x:v>
      </x:c>
      <x:c r="H18" s="18" t="str">
        <x:v>Агрегатор indice.md; первичный отчёт не сверялся</x:v>
      </x:c>
      <x:c r="I18" s="18" t="str">
        <x:v>Последний год в прочитанной карточке — 2024, не 2025.</x:v>
      </x:c>
      <x:c r="J18" s="30" t="str">
        <x:v>https://indice.md/company/128/</x:v>
      </x:c>
    </x:row>
    <x:row r="19" ht="77" customHeight="1">
      <x:c r="A19" s="24" t="str">
        <x:v>E46</x:v>
      </x:c>
      <x:c r="B19" s="25" t="str">
        <x:v>PEGAS-BAKERY SRL</x:v>
      </x:c>
      <x:c r="C19" s="37" t="n">
        <x:v>2025</x:v>
      </x:c>
      <x:c r="D19" s="39" t="n">
        <x:v>47833675</x:v>
      </x:c>
      <x:c r="E19" s="40" t="n">
        <x:v>55</x:v>
      </x:c>
      <x:c r="F19" s="41" t="n">
        <x:f>'Старт'!$B$6/D19</x:f>
        <x:v>0.007526078646476567</x:v>
      </x:c>
      <x:c r="G19" s="31" t="str">
        <x:v>1021600026916</x:v>
      </x:c>
      <x:c r="H19" s="24" t="str">
        <x:v>Агрегатор indice.md; первичный отчёт не сверялся</x:v>
      </x:c>
      <x:c r="I19" s="24" t="str">
        <x:v>Выручка юридического лица; не расход электричества</x:v>
      </x:c>
      <x:c r="J19" s="29" t="str">
        <x:v>https://indice.md/company/171192/</x:v>
      </x:c>
    </x:row>
    <x:row r="20" ht="77" customHeight="1">
      <x:c r="A20" s="18" t="str">
        <x:v>E47</x:v>
      </x:c>
      <x:c r="B20" s="26" t="str">
        <x:v>LAPMOL SRL</x:v>
      </x:c>
      <x:c r="C20" s="38" t="n">
        <x:v>2025</x:v>
      </x:c>
      <x:c r="D20" s="42" t="n">
        <x:v>622022041</x:v>
      </x:c>
      <x:c r="E20" s="43" t="str">
        <x:v>—</x:v>
      </x:c>
      <x:c r="F20" s="44" t="n">
        <x:f>'Старт'!$B$6/D20</x:f>
        <x:v>0.0005787576263716353</x:v>
      </x:c>
      <x:c r="G20" s="32" t="str">
        <x:v>1002600024308</x:v>
      </x:c>
      <x:c r="H20" s="18" t="str">
        <x:v>Агрегатор indice.md; первичный отчёт не сверялся</x:v>
      </x:c>
      <x:c r="I20" s="18" t="str">
        <x:v>Выручка компании с производством и торговлей; не отдельного молочного завода.</x:v>
      </x:c>
      <x:c r="J20" s="30" t="str">
        <x:v>https://indice.md/company/3587/</x:v>
      </x:c>
    </x:row>
    <x:row r="21" ht="77" customHeight="1">
      <x:c r="A21" s="24" t="str">
        <x:v>E49</x:v>
      </x:c>
      <x:c r="B21" s="25" t="str">
        <x:v>NIVALI-PROD SRL / Nivalli</x:v>
      </x:c>
      <x:c r="C21" s="37" t="n">
        <x:v>2025</x:v>
      </x:c>
      <x:c r="D21" s="39" t="n">
        <x:v>281602203</x:v>
      </x:c>
      <x:c r="E21" s="40" t="n">
        <x:v>253</x:v>
      </x:c>
      <x:c r="F21" s="41" t="n">
        <x:f>'Старт'!$B$6/D21</x:f>
        <x:v>0.0012783990897968934</x:v>
      </x:c>
      <x:c r="G21" s="31" t="str">
        <x:v>1006600010112</x:v>
      </x:c>
      <x:c r="H21" s="24" t="str">
        <x:v>Агрегатор indice.md; первичный отчёт не сверялся</x:v>
      </x:c>
      <x:c r="I21" s="24" t="str">
        <x:v>Выручка юридического лица; не расход электричества</x:v>
      </x:c>
      <x:c r="J21" s="29" t="str">
        <x:v>https://indice.md/company/236502/</x:v>
      </x:c>
    </x:row>
    <x:row r="22" ht="77" customHeight="1">
      <x:c r="A22" s="18" t="str">
        <x:v>E50</x:v>
      </x:c>
      <x:c r="B22" s="26" t="str">
        <x:v>Combinatul de Vinuri CRICOVA SA</x:v>
      </x:c>
      <x:c r="C22" s="38" t="n">
        <x:v>2025</x:v>
      </x:c>
      <x:c r="D22" s="42" t="n">
        <x:v>372825399</x:v>
      </x:c>
      <x:c r="E22" s="43" t="n">
        <x:v>551</x:v>
      </x:c>
      <x:c r="F22" s="44" t="n">
        <x:f>'Старт'!$B$6/D22</x:f>
        <x:v>0.0009655994494087567</x:v>
      </x:c>
      <x:c r="G22" s="32" t="str">
        <x:v>1003600086062</x:v>
      </x:c>
      <x:c r="H22" s="18" t="str">
        <x:v>Первичный: APP, собственник предприятия</x:v>
      </x:c>
      <x:c r="I22" s="18" t="str">
        <x:v>Выручка юридического лица; не расход электричества</x:v>
      </x:c>
      <x:c r="J22" s="30" t="str">
        <x:v>https://app.gov.md/companies/combinatul-de-vinuri-cricova/</x:v>
      </x:c>
    </x:row>
    <x:row r="23" ht="77" customHeight="1">
      <x:c r="A23" s="24" t="str">
        <x:v>E51</x:v>
      </x:c>
      <x:c r="B23" s="25" t="str">
        <x:v>BARZA ALBĂ SA</x:v>
      </x:c>
      <x:c r="C23" s="37" t="n">
        <x:v>2025</x:v>
      </x:c>
      <x:c r="D23" s="39" t="n">
        <x:v>89119670</x:v>
      </x:c>
      <x:c r="E23" s="40" t="n">
        <x:v>116</x:v>
      </x:c>
      <x:c r="F23" s="41" t="n">
        <x:f>'Старт'!$B$6/D23</x:f>
        <x:v>0.004039512264800801</x:v>
      </x:c>
      <x:c r="G23" s="31" t="str">
        <x:v>Не сверено</x:v>
      </x:c>
      <x:c r="H23" s="24" t="str">
        <x:v>Первичный: APP, собственник предприятия</x:v>
      </x:c>
      <x:c r="I23" s="24" t="str">
        <x:v>Пересчитано из 89 119,67 тыс. MDL в таблице; точность до 10 MDL. В заголовке страницы опечатка разделителей.</x:v>
      </x:c>
      <x:c r="J23" s="29" t="str">
        <x:v>https://app.gov.md/companies/barza-alba/</x:v>
      </x:c>
    </x:row>
    <x:row r="24" ht="77" customHeight="1">
      <x:c r="A24" s="18" t="str">
        <x:v>E56</x:v>
      </x:c>
      <x:c r="B24" s="26" t="str">
        <x:v>VINĂRIA PURCARI SRL</x:v>
      </x:c>
      <x:c r="C24" s="38" t="n">
        <x:v>2025</x:v>
      </x:c>
      <x:c r="D24" s="42" t="n">
        <x:v>711600000</x:v>
      </x:c>
      <x:c r="E24" s="43" t="n">
        <x:v>265</x:v>
      </x:c>
      <x:c r="F24" s="44" t="n">
        <x:f>'Старт'!$B$6/D24</x:f>
        <x:v>0.000505902192242833</x:v>
      </x:c>
      <x:c r="G24" s="32" t="str">
        <x:v>1003600072948</x:v>
      </x:c>
      <x:c r="H24" s="18" t="str">
        <x:v>Агрегатор SiriusB2B; первичный отчёт не сверялся</x:v>
      </x:c>
      <x:c r="I24" s="18" t="str">
        <x:v>На странице округлено до 711,60 млн MDL; это местное юрлицо, не консолидированная группа в RON.</x:v>
      </x:c>
      <x:c r="J24" s="30" t="str">
        <x:v>https://siriusb2b.md/1003600072948/im-vinaria-purcari-srl</x:v>
      </x:c>
    </x:row>
    <x:row r="25" ht="77" customHeight="1">
      <x:c r="A25" s="24" t="str">
        <x:v>E58</x:v>
      </x:c>
      <x:c r="B25" s="25" t="str">
        <x:v>VEFASISTEM-COMPANIE SRL</x:v>
      </x:c>
      <x:c r="C25" s="37" t="n">
        <x:v>2025</x:v>
      </x:c>
      <x:c r="D25" s="39" t="n">
        <x:v>277597017</x:v>
      </x:c>
      <x:c r="E25" s="40" t="n">
        <x:v>146</x:v>
      </x:c>
      <x:c r="F25" s="41" t="n">
        <x:f>'Старт'!$B$6/D25</x:f>
        <x:v>0.0012968439066475992</x:v>
      </x:c>
      <x:c r="G25" s="31" t="str">
        <x:v>1008602007864</x:v>
      </x:c>
      <x:c r="H25" s="24" t="str">
        <x:v>Агрегатор indice.md; первичный отчёт не сверялся</x:v>
      </x:c>
      <x:c r="I25" s="24" t="str">
        <x:v>Выручка юридического лица; не расход электричества</x:v>
      </x:c>
      <x:c r="J25" s="29" t="str">
        <x:v>https://indice.md/company/292261/</x:v>
      </x:c>
    </x:row>
    <x:row r="26" ht="77" customHeight="1">
      <x:c r="A26" s="18" t="str">
        <x:v>E63</x:v>
      </x:c>
      <x:c r="B26" s="26" t="str">
        <x:v>ÎS Fabrica de Sticlă din Chișinău</x:v>
      </x:c>
      <x:c r="C26" s="38" t="n">
        <x:v>2025</x:v>
      </x:c>
      <x:c r="D26" s="42" t="n">
        <x:v>404651621</x:v>
      </x:c>
      <x:c r="E26" s="43" t="n">
        <x:v>350</x:v>
      </x:c>
      <x:c r="F26" s="44" t="n">
        <x:f>'Старт'!$B$6/D26</x:f>
        <x:v>0.0008896541650082751</x:v>
      </x:c>
      <x:c r="G26" s="32" t="str">
        <x:v>1002600008924</x:v>
      </x:c>
      <x:c r="H26" s="18" t="str">
        <x:v>Первичный: APP, собственник предприятия</x:v>
      </x:c>
      <x:c r="I26" s="18" t="str">
        <x:v>Выручка юридического лица; не расход электричества</x:v>
      </x:c>
      <x:c r="J26" s="30" t="str">
        <x:v>https://app.gov.md/companies/fabrica-de-sticla-din-chisinau/</x:v>
      </x:c>
    </x:row>
    <x:row r="27" ht="77" customHeight="1">
      <x:c r="A27" s="24" t="str">
        <x:v>E64</x:v>
      </x:c>
      <x:c r="B27" s="25" t="str">
        <x:v>VIORICA-COSMETIC SA</x:v>
      </x:c>
      <x:c r="C27" s="37" t="n">
        <x:v>2025</x:v>
      </x:c>
      <x:c r="D27" s="39" t="n">
        <x:v>211330978</x:v>
      </x:c>
      <x:c r="E27" s="40" t="n">
        <x:v>229</x:v>
      </x:c>
      <x:c r="F27" s="41" t="n">
        <x:f>'Старт'!$B$6/D27</x:f>
        <x:v>0.0017034890171189194</x:v>
      </x:c>
      <x:c r="G27" s="31" t="str">
        <x:v>1002600033793</x:v>
      </x:c>
      <x:c r="H27" s="24" t="str">
        <x:v>Агрегатор indice.md; первичный отчёт не сверялся</x:v>
      </x:c>
      <x:c r="I27" s="24" t="str">
        <x:v>Выручка юридического лица; не расход электричества</x:v>
      </x:c>
      <x:c r="J27" s="29" t="str">
        <x:v>https://indice.md/company/224577/</x:v>
      </x:c>
    </x:row>
    <x:row r="28" ht="77" customHeight="1">
      <x:c r="A28" s="18" t="str">
        <x:v>E67</x:v>
      </x:c>
      <x:c r="B28" s="26" t="str">
        <x:v>Fabrica de Confecții IONEL SA</x:v>
      </x:c>
      <x:c r="C28" s="38" t="n">
        <x:v>2025</x:v>
      </x:c>
      <x:c r="D28" s="42" t="n">
        <x:v>42036690</x:v>
      </x:c>
      <x:c r="E28" s="43" t="str">
        <x:v>—</x:v>
      </x:c>
      <x:c r="F28" s="44" t="n">
        <x:f>'Старт'!$B$6/D28</x:f>
        <x:v>0.008563947351706331</x:v>
      </x:c>
      <x:c r="G28" s="32" t="str">
        <x:v>Не сверено</x:v>
      </x:c>
      <x:c r="H28" s="18" t="str">
        <x:v>Агрегатор indice.md; отраслевой рейтинг C1413</x:v>
      </x:c>
      <x:c r="I28" s="18" t="str">
        <x:v>Сумма из отраслевого рейтинга 2025 года; карточку/отчёт юрлица отдельно сверить.</x:v>
      </x:c>
      <x:c r="J28" s="30" t="str">
        <x:v>https://indice.md/company/244095/</x:v>
      </x:c>
    </x:row>
    <x:row r="29" ht="77" customHeight="1">
      <x:c r="A29" s="24" t="str">
        <x:v>E68</x:v>
      </x:c>
      <x:c r="B29" s="25" t="str">
        <x:v>TRICON SA</x:v>
      </x:c>
      <x:c r="C29" s="37" t="n">
        <x:v>2025</x:v>
      </x:c>
      <x:c r="D29" s="39" t="n">
        <x:v>41860195</x:v>
      </x:c>
      <x:c r="E29" s="40" t="str">
        <x:v>—</x:v>
      </x:c>
      <x:c r="F29" s="41" t="n">
        <x:f>'Старт'!$B$6/D29</x:f>
        <x:v>0.00860005549424698</x:v>
      </x:c>
      <x:c r="G29" s="31" t="str">
        <x:v>1002603000505</x:v>
      </x:c>
      <x:c r="H29" s="24" t="str">
        <x:v>Агрегатор indice.md; отраслевой рейтинг C1413</x:v>
      </x:c>
      <x:c r="I29" s="24" t="str">
        <x:v>Сумма из отраслевого рейтинга 2025 года; карточку/отчёт юрлица отдельно сверить.</x:v>
      </x:c>
      <x:c r="J29" s="29" t="str">
        <x:v>https://indice.md/company/244095/</x:v>
      </x:c>
    </x:row>
    <x:row r="30" ht="77" customHeight="1">
      <x:c r="A30" s="18" t="str">
        <x:v>E80</x:v>
      </x:c>
      <x:c r="B30" s="26" t="str">
        <x:v>IUVAS SRL</x:v>
      </x:c>
      <x:c r="C30" s="38" t="n">
        <x:v>2025</x:v>
      </x:c>
      <x:c r="D30" s="42" t="n">
        <x:v>170687914</x:v>
      </x:c>
      <x:c r="E30" s="43" t="str">
        <x:v>—</x:v>
      </x:c>
      <x:c r="F30" s="44" t="n">
        <x:f>'Старт'!$B$6/D30</x:f>
        <x:v>0.0021091124237419645</x:v>
      </x:c>
      <x:c r="G30" s="32" t="str">
        <x:v>1003600045603</x:v>
      </x:c>
      <x:c r="H30" s="18" t="str">
        <x:v>Агрегатор indice.md; отраслевой рейтинг C1413</x:v>
      </x:c>
      <x:c r="I30" s="18" t="str">
        <x:v>Сумма из отраслевого рейтинга 2025 года; карточку/отчёт юрлица отдельно сверить.</x:v>
      </x:c>
      <x:c r="J30" s="30" t="str">
        <x:v>https://indice.md/company/244095/</x:v>
      </x:c>
    </x:row>
    <x:row r="31" ht="77" customHeight="1">
      <x:c r="A31" s="24" t="str">
        <x:v>E81</x:v>
      </x:c>
      <x:c r="B31" s="25" t="str">
        <x:v>MOLLTEX GROUP SRL</x:v>
      </x:c>
      <x:c r="C31" s="37" t="n">
        <x:v>2025</x:v>
      </x:c>
      <x:c r="D31" s="39" t="n">
        <x:v>236709907</x:v>
      </x:c>
      <x:c r="E31" s="40" t="str">
        <x:v>—</x:v>
      </x:c>
      <x:c r="F31" s="41" t="n">
        <x:f>'Старт'!$B$6/D31</x:f>
        <x:v>0.0015208488929024841</x:v>
      </x:c>
      <x:c r="G31" s="31" t="str">
        <x:v>Не сверено</x:v>
      </x:c>
      <x:c r="H31" s="24" t="str">
        <x:v>Агрегатор indice.md; отраслевой рейтинг C1413</x:v>
      </x:c>
      <x:c r="I31" s="24" t="str">
        <x:v>Сумма из отраслевого рейтинга 2025 года; карточку/отчёт юрлица отдельно сверить.</x:v>
      </x:c>
      <x:c r="J31" s="29" t="str">
        <x:v>https://indice.md/company/244095/</x:v>
      </x:c>
    </x:row>
  </x:sheetData>
  <x:pageMargins left="0.7" right="0.7" top="0.75" bottom="0.75" header="0.3" footer="0.3"/>
  <x:tableParts count="1">
    <x:tablePart xmlns:r="http://schemas.openxmlformats.org/officeDocument/2006/relationships" r:id="R119bd8c34e48413e"/>
  </x:tableParts>
</x:worksheet>
</file>

<file path=xl/worksheets/sheet5.xml><?xml version="1.0" encoding="utf-8"?>
<x:worksheet xmlns:x="http://schemas.openxmlformats.org/spreadsheetml/2006/main">
  <x:sheetPr>
    <x:tabColor rgb="FF203C5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" hidden="0" customWidth="1"/>
    <x:col min="2" max="2" width="31" hidden="0" customWidth="1"/>
    <x:col min="3" max="3" width="30" hidden="0" customWidth="1"/>
    <x:col min="4" max="4" width="67" hidden="0" customWidth="1"/>
    <x:col min="5" max="5" width="29" hidden="0" customWidth="1"/>
    <x:col min="6" max="6" width="41" hidden="0" customWidth="1"/>
    <x:col min="7" max="7" width="46" hidden="0" customWidth="1"/>
    <x:col min="8" max="8" width="64" hidden="0" customWidth="1"/>
    <x:col min="9" max="9" width="8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3" t="str">
        <x:v>Первая волна · 20 кандидатов</x:v>
      </x:c>
      <x:c r="B2" s="2"/>
      <x:c r="C2" s="2"/>
      <x:c r="D2" s="2"/>
      <x:c r="E2" s="2"/>
      <x:c r="F2" s="2"/>
      <x:c r="G2" s="2"/>
      <x:c r="H2" s="2"/>
      <x:c r="I2" s="2"/>
    </x:row>
    <x:row r="3" ht="28" customHeight="1">
      <x:c r="A3" s="4" t="str">
        <x:v>Подбор сочетает холод / производство, масштаб и доступность контакта. Порядок — экспертная оценка для квалификации.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45" customHeight="1">
      <x:c r="A6" s="22" t="str">
        <x:v>ID</x:v>
      </x:c>
      <x:c r="B6" s="22" t="str">
        <x:v>Предприятие / группа</x:v>
      </x:c>
      <x:c r="C6" s="22" t="str">
        <x:v>Направление</x:v>
      </x:c>
      <x:c r="D6" s="22" t="str">
        <x:v>Доказательная база</x:v>
      </x:c>
      <x:c r="E6" s="22" t="str">
        <x:v>Телефон</x:v>
      </x:c>
      <x:c r="F6" s="22" t="str">
        <x:v>Email / форма</x:v>
      </x:c>
      <x:c r="G6" s="22" t="str">
        <x:v>Назначение контакта</x:v>
      </x:c>
      <x:c r="H6" s="22" t="str">
        <x:v>Первый вопрос</x:v>
      </x:c>
      <x:c r="I6" s="22" t="str">
        <x:v>Источник деятельности</x:v>
      </x:c>
    </x:row>
    <x:row r="7" ht="100" customHeight="1">
      <x:c r="A7" s="24" t="str">
        <x:v>E38</x:v>
      </x:c>
      <x:c r="B7" s="25" t="str">
        <x:v>IUGINTERTRANS SA / Milina</x:v>
      </x:c>
      <x:c r="C7" s="24" t="str">
        <x:v>Хлеб и кондитерские изделия</x:v>
      </x:c>
      <x:c r="D7" s="24" t="str">
        <x:v>Компания описывает 6 хлебозаводов и терминал на 3 100 палетомест: 10 камер, от +4 до −22 °C. Выручка юрлица 2025 года — 898,60 млн MDL по indice.md.</x:v>
      </x:c>
      <x:c r="E7" s="24" t="str">
        <x:v>+373 60 044 999</x:v>
      </x:c>
      <x:c r="F7" s="24" t="str">
        <x:v>deposit.iugtrans@gmail.com</x:v>
      </x:c>
      <x:c r="G7" s="24" t="str">
        <x:v>Контакт холодильного терминала; выход на операционного руководителя</x:v>
      </x:c>
      <x:c r="H7" s="24" t="str">
        <x:v>Разделить хлебозаводы, логистику и холодильник; кто держит договоры, каковы сетевые покупки и генерация?</x:v>
      </x:c>
      <x:c r="I7" s="24" t="str">
        <x:v>https://www.milina.md/</x:v>
      </x:c>
    </x:row>
    <x:row r="8" ht="100" customHeight="1">
      <x:c r="A8" s="18" t="str">
        <x:v>E45</x:v>
      </x:c>
      <x:c r="B8" s="26" t="str">
        <x:v>SANDRILIONA SRL / Sandra</x:v>
      </x:c>
      <x:c r="C8" s="18" t="str">
        <x:v>Молочная продукция и мороженое</x:v>
      </x:c>
      <x:c r="D8" s="18" t="str">
        <x:v>Сайт Sandra описывает фабрику мороженого; indice.md публикует выручку 400,71 млн MDL и 266 работников за 2024 год.</x:v>
      </x:c>
      <x:c r="E8" s="18" t="str">
        <x:v>+373 22 729 971</x:v>
      </x:c>
      <x:c r="F8" s="18" t="str">
        <x:v>office@sandriliona.md</x:v>
      </x:c>
      <x:c r="G8" s="18" t="str">
        <x:v>Офис Sandriliona</x:v>
      </x:c>
      <x:c r="H8" s="18" t="str">
        <x:v>Сезон выпуска, круглогодичное хранение, сетевые покупки после генерации; актуализировать финансовый год.</x:v>
      </x:c>
      <x:c r="I8" s="18" t="str">
        <x:v>https://www.sandra.md/about</x:v>
      </x:c>
    </x:row>
    <x:row r="9" ht="100" customHeight="1">
      <x:c r="A9" s="24" t="str">
        <x:v>E49</x:v>
      </x:c>
      <x:c r="B9" s="25" t="str">
        <x:v>NIVALI-PROD SRL / Nivalli</x:v>
      </x:c>
      <x:c r="C9" s="24" t="str">
        <x:v>Мясо и птица</x:v>
      </x:c>
      <x:c r="D9" s="24" t="str">
        <x:v>Официально описаны мясокомбинат и оборудование из Австрии/Германии. Справочник: 281,60 млн MDL выручки и 253 сотрудника за 2025 год.</x:v>
      </x:c>
      <x:c r="E9" s="24" t="str">
        <x:v>+373 68 855 858</x:v>
      </x:c>
      <x:c r="F9" s="24" t="str">
        <x:v>office@nivalli.md</x:v>
      </x:c>
      <x:c r="G9" s="24" t="str">
        <x:v>Офис компании</x:v>
      </x:c>
      <x:c r="H9" s="24" t="str">
        <x:v>Часы работы, холодильные камеры, заводской счётчик, собственная генерация.</x:v>
      </x:c>
      <x:c r="I9" s="24" t="str">
        <x:v>https://www.nivalli.md/despre-nivalli/</x:v>
      </x:c>
    </x:row>
    <x:row r="10" ht="100" customHeight="1">
      <x:c r="A10" s="18" t="str">
        <x:v>E47</x:v>
      </x:c>
      <x:c r="B10" s="26" t="str">
        <x:v>LAPMOL SRL</x:v>
      </x:c>
      <x:c r="C10" s="18" t="str">
        <x:v>Молочная продукция и мороженое</x:v>
      </x:c>
      <x:c r="D10" s="18" t="str">
        <x:v>Производство молочной продукции; описание заводов есть в каталоге и декларации компании. Выручка юрлица 2025 года — 622,02 млн MDL по indice.md.</x:v>
      </x:c>
      <x:c r="E10" s="18" t="str">
        <x:v>+373 22 410 765</x:v>
      </x:c>
      <x:c r="F10" s="18" t="str">
        <x:v>reception@lapmol.md</x:v>
      </x:c>
      <x:c r="G10" s="18" t="str">
        <x:v>Офис предприятия</x:v>
      </x:c>
      <x:c r="H10" s="18" t="str">
        <x:v>Подтвердить состав действующих заводов, раздельные счётчики, долю импорта в обороте и остаточный спрос из сети.</x:v>
      </x:c>
      <x:c r="I10" s="18" t="str">
        <x:v>https://madein.md/lapmol</x:v>
      </x:c>
    </x:row>
    <x:row r="11" ht="100" customHeight="1">
      <x:c r="A11" s="24" t="str">
        <x:v>E37</x:v>
      </x:c>
      <x:c r="B11" s="25" t="str">
        <x:v>Franzeluța SA</x:v>
      </x:c>
      <x:c r="C11" s="24" t="str">
        <x:v>Хлеб и кондитерские изделия</x:v>
      </x:c>
      <x:c r="D11" s="24" t="str">
        <x:v>APP: хлебопекарное предприятие; выручка 2025 года 720,98 млн MDL, 1 164 сотрудника.</x:v>
      </x:c>
      <x:c r="E11" s="24" t="str">
        <x:v>+373 22 551 445</x:v>
      </x:c>
      <x:c r="F11" s="24" t="str">
        <x:v>anticamera@franzeluta.md</x:v>
      </x:c>
      <x:c r="G11" s="24" t="str">
        <x:v>Приёмная</x:v>
      </x:c>
      <x:c r="H11" s="24" t="str">
        <x:v>Какие печи электрические? Остаточные покупки из сети после солнечного проекта; закупка централизована?</x:v>
      </x:c>
      <x:c r="I11" s="24" t="str">
        <x:v>https://app.gov.md/companies/franzeluta/</x:v>
      </x:c>
    </x:row>
    <x:row r="12" ht="100" customHeight="1">
      <x:c r="A12" s="18" t="str">
        <x:v>E40</x:v>
      </x:c>
      <x:c r="B12" s="26" t="str">
        <x:v>BRODEȚCHI SRL</x:v>
      </x:c>
      <x:c r="C12" s="18" t="str">
        <x:v>Хлеб и кондитерские изделия</x:v>
      </x:c>
      <x:c r="D12" s="18" t="str">
        <x:v>Собственный сайт описывает хлебопечение и поставки в несколько районов. Справочник: выручка 404,66 млн MDL и 660 работников в 2025 году.</x:v>
      </x:c>
      <x:c r="E12" s="18" t="str">
        <x:v>+373 235 32040; +373 235 34289</x:v>
      </x:c>
      <x:c r="F12" s="18" t="str">
        <x:v>Не найден</x:v>
      </x:c>
      <x:c r="G12" s="18" t="str">
        <x:v>Общие телефоны компании</x:v>
      </x:c>
      <x:c r="H12" s="18" t="str">
        <x:v>Разделить производство, мельницу и торговлю; тип топлива печей, смены, солнечная генерация.</x:v>
      </x:c>
      <x:c r="I12" s="18" t="str">
        <x:v>https://brodetchi.md/despre-noi/</x:v>
      </x:c>
    </x:row>
    <x:row r="13" ht="100" customHeight="1">
      <x:c r="A13" s="24" t="str">
        <x:v>E44</x:v>
      </x:c>
      <x:c r="B13" s="25" t="str">
        <x:v>NEFIS SRL</x:v>
      </x:c>
      <x:c r="C13" s="24" t="str">
        <x:v>Хлеб и кондитерские изделия</x:v>
      </x:c>
      <x:c r="D13" s="24" t="str">
        <x:v>AmCham описывает производство печенья, вафель, конфет и шоколада. Справочник за 2025 год: выручка 266,74 млн MDL, 345 работников.</x:v>
      </x:c>
      <x:c r="E13" s="24" t="str">
        <x:v>+373 237 44000</x:v>
      </x:c>
      <x:c r="F13" s="24" t="str">
        <x:v>nefis@nefis.md</x:v>
      </x:c>
      <x:c r="G13" s="24" t="str">
        <x:v>Контакт производителя в AmCham</x:v>
      </x:c>
      <x:c r="H13" s="24" t="str">
        <x:v>Разделить нагрев и электричество, проверить действующие линии и собственную генерацию. Старый штат в профиле AmCham не считать текущим.</x:v>
      </x:c>
      <x:c r="I13" s="24" t="str">
        <x:v>https://amcham.md/?go=members&amp;m=86&amp;sub=members</x:v>
      </x:c>
    </x:row>
    <x:row r="14" ht="100" customHeight="1">
      <x:c r="A14" s="18" t="str">
        <x:v>E41</x:v>
      </x:c>
      <x:c r="B14" s="26" t="str">
        <x:v>PANILINO SRL</x:v>
      </x:c>
      <x:c r="C14" s="18" t="str">
        <x:v>Хлеб и кондитерские изделия</x:v>
      </x:c>
      <x:c r="D14" s="18" t="str">
        <x:v>Madein описывает производство кондитерских изделий; indice.md: 136,43 млн MDL выручки и 162 сотрудника в 2025 году.</x:v>
      </x:c>
      <x:c r="E14" s="18" t="str">
        <x:v>+373 22 859 779</x:v>
      </x:c>
      <x:c r="F14" s="18" t="str">
        <x:v>Не найден</x:v>
      </x:c>
      <x:c r="G14" s="18" t="str">
        <x:v>Контакт каталога производителя; не проверен звонком</x:v>
      </x:c>
      <x:c r="H14" s="18" t="str">
        <x:v>Актуализировать телефон каталога, адрес цеха, загрузку холода и тип печей.</x:v>
      </x:c>
      <x:c r="I14" s="18" t="str">
        <x:v>https://store.madein.md/panilino</x:v>
      </x:c>
    </x:row>
    <x:row r="15" ht="100" customHeight="1">
      <x:c r="A15" s="24" t="str">
        <x:v>E42</x:v>
      </x:c>
      <x:c r="B15" s="25" t="str">
        <x:v>DULCINELLA SRL</x:v>
      </x:c>
      <x:c r="C15" s="24" t="str">
        <x:v>Хлеб и кондитерские изделия</x:v>
      </x:c>
      <x:c r="D15" s="24" t="str">
        <x:v>Компания описывает производство кондитерских изделий и собственную торговую сеть; выручка юрлица 2025 года 136,07 млн MDL, 213 сотрудников по indice.md.</x:v>
      </x:c>
      <x:c r="E15" s="24" t="str">
        <x:v>+373 60 025 858</x:v>
      </x:c>
      <x:c r="F15" s="24" t="str">
        <x:v>direct@dulcinella.com</x:v>
      </x:c>
      <x:c r="G15" s="24" t="str">
        <x:v>Общий контакт бренда</x:v>
      </x:c>
      <x:c r="H15" s="24" t="str">
        <x:v>Какие площадки входят в юрлицо, сколько потребляет центральный цех; не относить всю выручку сети к одному объекту.</x:v>
      </x:c>
      <x:c r="I15" s="24" t="str">
        <x:v>https://dulcinella.md/ro/content/despre-noi</x:v>
      </x:c>
    </x:row>
    <x:row r="16" ht="100" customHeight="1">
      <x:c r="A16" s="18" t="str">
        <x:v>E58</x:v>
      </x:c>
      <x:c r="B16" s="26" t="str">
        <x:v>VEFASISTEM-COMPANIE SRL</x:v>
      </x:c>
      <x:c r="C16" s="18" t="str">
        <x:v>Окна и фасады</x:v>
      </x:c>
      <x:c r="D16" s="18" t="str">
        <x:v>Сайт заявляет выпуск окон PVC/алюминий свыше 1 000 м²/день. Выручка 2025 года 277,60 млн MDL и 146 сотрудников по indice.md.</x:v>
      </x:c>
      <x:c r="E16" s="18" t="str">
        <x:v>+373 22 955555; +373 231 94030</x:v>
      </x:c>
      <x:c r="F16" s="18" t="str">
        <x:v>info@vefasistem.md</x:v>
      </x:c>
      <x:c r="G16" s="18" t="str">
        <x:v>Общий контакт производителя</x:v>
      </x:c>
      <x:c r="H16" s="18" t="str">
        <x:v>Загрузка фабрики, смены, какие операции собственные; наличие стеклообработки отдельно подтвердить.</x:v>
      </x:c>
      <x:c r="I16" s="18" t="str">
        <x:v>https://vefasistem.md/centrul-de-productie/</x:v>
      </x:c>
    </x:row>
    <x:row r="17" ht="100" customHeight="1">
      <x:c r="A17" s="24" t="str">
        <x:v>E20</x:v>
      </x:c>
      <x:c r="B17" s="25" t="str">
        <x:v>Elit Fruct</x:v>
      </x:c>
      <x:c r="C17" s="24" t="str">
        <x:v>Холод и заморозка</x:v>
      </x:c>
      <x:c r="D17" s="24" t="str">
        <x:v>Компания описывает холодильный комплекс CA/ULO вместимостью около 6 000 тонн с оборудованием Besseling, Bitzer и Kelvion.</x:v>
      </x:c>
      <x:c r="E17" s="24" t="str">
        <x:v>+373 69 176 251</x:v>
      </x:c>
      <x:c r="F17" s="24" t="str">
        <x:v>office@elitfruct.md</x:v>
      </x:c>
      <x:c r="G17" s="24" t="str">
        <x:v>Общий контакт предприятия.</x:v>
      </x:c>
      <x:c r="H17" s="24" t="str">
        <x:v>Помесячная загрузка камер, температура и периоды хранения; профиль ночного потребления, солнечная генерация и прямой договор?</x:v>
      </x:c>
      <x:c r="I17" s="24" t="str">
        <x:v>https://www.elitfruct.md/ro/producerea</x:v>
      </x:c>
    </x:row>
    <x:row r="18" ht="100" customHeight="1">
      <x:c r="A18" s="18" t="str">
        <x:v>E21</x:v>
      </x:c>
      <x:c r="B18" s="26" t="str">
        <x:v>NeoFrost</x:v>
      </x:c>
      <x:c r="C18" s="18" t="str">
        <x:v>Холод и заморозка</x:v>
      </x:c>
      <x:c r="D18" s="18" t="str">
        <x:v>Сайт описывает производство замороженных продуктов, быструю заморозку и 7 холодильных камер.</x:v>
      </x:c>
      <x:c r="E18" s="18" t="str">
        <x:v>+373 68 222 775</x:v>
      </x:c>
      <x:c r="F18" s="18" t="str">
        <x:v>neofrost2017@gmail.com</x:v>
      </x:c>
      <x:c r="G18" s="18" t="str">
        <x:v>Общий контакт производителя.</x:v>
      </x:c>
      <x:c r="H18" s="18" t="str">
        <x:v>Производительность заморозки, месяцы работы, температура и заполнение камер, годовые закупки электричества?</x:v>
      </x:c>
      <x:c r="I18" s="18" t="str">
        <x:v>https://neofrost.md/fabric</x:v>
      </x:c>
    </x:row>
    <x:row r="19" ht="100" customHeight="1">
      <x:c r="A19" s="24" t="str">
        <x:v>E12</x:v>
      </x:c>
      <x:c r="B19" s="25" t="str">
        <x:v>RUBIPLAST-COM</x:v>
      </x:c>
      <x:c r="C19" s="24" t="str">
        <x:v>Пластик и упаковка</x:v>
      </x:c>
      <x:c r="D19" s="24" t="str">
        <x:v>Компания заявляет литьё пластмассовых ящиков, корзин, вёдер и другой тары методом инжекции.</x:v>
      </x:c>
      <x:c r="E19" s="24" t="str">
        <x:v>+373 68 522 300</x:v>
      </x:c>
      <x:c r="F19" s="24" t="str">
        <x:v>poparubiplast@gmail.com</x:v>
      </x:c>
      <x:c r="G19" s="24" t="str">
        <x:v>Общий контакт производителя.</x:v>
      </x:c>
      <x:c r="H19" s="24" t="str">
        <x:v>Число термопластавтоматов, электрическая мощность и часы работы; оборотное охлаждение, смены, объём закупок из сети?</x:v>
      </x:c>
      <x:c r="I19" s="24" t="str">
        <x:v>https://www.rubiplast.com.md/?lang=ro&amp;page=services</x:v>
      </x:c>
    </x:row>
    <x:row r="20" ht="100" customHeight="1">
      <x:c r="A20" s="18" t="str">
        <x:v>E14</x:v>
      </x:c>
      <x:c r="B20" s="26" t="str">
        <x:v>Pandrim</x:v>
      </x:c>
      <x:c r="C20" s="18" t="str">
        <x:v>Пластик и упаковка</x:v>
      </x:c>
      <x:c r="D20" s="18" t="str">
        <x:v>Компания описывает литьё пластика под давлением, дробление и регрануляцию.</x:v>
      </x:c>
      <x:c r="E20" s="18" t="str">
        <x:v>+373 69 112 433</x:v>
      </x:c>
      <x:c r="F20" s="18" t="str">
        <x:v>pandrim.srl@gmail.com</x:v>
      </x:c>
      <x:c r="G20" s="18" t="str">
        <x:v>Общий контакт производителя.</x:v>
      </x:c>
      <x:c r="H20" s="18" t="str">
        <x:v>Мощность и число линий, часы регрануляции, сменность, охлаждение, доля собственной солнечной генерации?</x:v>
      </x:c>
      <x:c r="I20" s="18" t="str">
        <x:v>https://pandrim.md/despre-noi/</x:v>
      </x:c>
    </x:row>
    <x:row r="21" ht="100" customHeight="1">
      <x:c r="A21" s="24" t="str">
        <x:v>E18</x:v>
      </x:c>
      <x:c r="B21" s="25" t="str">
        <x:v>Pergament</x:v>
      </x:c>
      <x:c r="C21" s="24" t="str">
        <x:v>Пластик и упаковка</x:v>
      </x:c>
      <x:c r="D21" s="24" t="str">
        <x:v>Опубликованы офсетные машины Heidelberg/Manroland, УФ-сушка, 4 ламинатора и другие линии. Заявлено 3 000 м² производства и складов на двух площадках.</x:v>
      </x:c>
      <x:c r="E21" s="24" t="str">
        <x:v>+373 79 044 417</x:v>
      </x:c>
      <x:c r="F21" s="24" t="str">
        <x:v>contact@pergament.md</x:v>
      </x:c>
      <x:c r="G21" s="24" t="str">
        <x:v>Общий контакт типографии.</x:v>
      </x:c>
      <x:c r="H21" s="24" t="str">
        <x:v>Какие площадки сейчас эксплуатируются после расширения 2026 года? Счётчики, смены, сушильные системы и закупки из сети?</x:v>
      </x:c>
      <x:c r="I21" s="24" t="str">
        <x:v>https://pergament.md/ro/productie-si-tehnologii/</x:v>
      </x:c>
    </x:row>
    <x:row r="22" ht="100" customHeight="1">
      <x:c r="A22" s="18" t="str">
        <x:v>E01</x:v>
      </x:c>
      <x:c r="B22" s="26" t="str">
        <x:v>TANDEM</x:v>
      </x:c>
      <x:c r="C22" s="18" t="str">
        <x:v>Мебель и дерево</x:v>
      </x:c>
      <x:c r="D22" s="18" t="str">
        <x:v>На сайте заявлены фабрика 5 000 м², станки Homag/Biesse/SCM, раскрой CNC, лазерная кромка, покрасочная камера и ИК-сушка.</x:v>
      </x:c>
      <x:c r="E22" s="18" t="str">
        <x:v>+373 79 057 770</x:v>
      </x:c>
      <x:c r="F22" s="18" t="str">
        <x:v>—</x:v>
      </x:c>
      <x:c r="G22" s="18" t="str">
        <x:v>Общий коммерческий контакт / салон; не закупки энергии.</x:v>
      </x:c>
      <x:c r="H22" s="18" t="str">
        <x:v>Сколько смен и работающих станков? Тип энергии для сушки? Где счётчик фабрики, есть ли солнечная генерация?</x:v>
      </x:c>
      <x:c r="I22" s="18" t="str">
        <x:v>https://tandem.md/ro/mobila-la-comanda/</x:v>
      </x:c>
    </x:row>
    <x:row r="23" ht="100" customHeight="1">
      <x:c r="A23" s="24" t="str">
        <x:v>E07</x:v>
      </x:c>
      <x:c r="B23" s="25" t="str">
        <x:v>Mavitex-Cons</x:v>
      </x:c>
      <x:c r="C23" s="24" t="str">
        <x:v>Металл и сварка</x:v>
      </x:c>
      <x:c r="D23" s="24" t="str">
        <x:v>Компания публикует услуги роботизированной сварки, лазерной резки, гибки CNC и изготовления металлоконструкций.</x:v>
      </x:c>
      <x:c r="E23" s="24" t="str">
        <x:v>+373 60 897 694</x:v>
      </x:c>
      <x:c r="F23" s="24" t="str">
        <x:v>mavitex.cons@gmail.com</x:v>
      </x:c>
      <x:c r="G23" s="24" t="str">
        <x:v>Общий коммерческий контакт.</x:v>
      </x:c>
      <x:c r="H23" s="24" t="str">
        <x:v>Какая доля заказов серийная? Часы загрузки робота/лазера, сменность, отдельный счётчик цеха?</x:v>
      </x:c>
      <x:c r="I23" s="24" t="str">
        <x:v>https://mavitexcons.md/</x:v>
      </x:c>
    </x:row>
    <x:row r="24" ht="100" customHeight="1">
      <x:c r="A24" s="18" t="str">
        <x:v>E08</x:v>
      </x:c>
      <x:c r="B24" s="26" t="str">
        <x:v>Vizant</x:v>
      </x:c>
      <x:c r="C24" s="18" t="str">
        <x:v>Металл и сварка</x:v>
      </x:c>
      <x:c r="D24" s="18" t="str">
        <x:v>Указаны лазерная резка листа и труб, гибка CNC, роботизированная и ручная лазерная сварка, холодная штамповка.</x:v>
      </x:c>
      <x:c r="E24" s="18" t="str">
        <x:v>+373 79 880 102</x:v>
      </x:c>
      <x:c r="F24" s="18" t="str">
        <x:v>info@vizant.md</x:v>
      </x:c>
      <x:c r="G24" s="18" t="str">
        <x:v>Общий коммерческий контакт.</x:v>
      </x:c>
      <x:c r="H24" s="18" t="str">
        <x:v>Число линий и станков, фактические часы работы, компрессорное хозяйство, сменность и график заказов?</x:v>
      </x:c>
      <x:c r="I24" s="18" t="str">
        <x:v>https://vizant.md/ro/</x:v>
      </x:c>
    </x:row>
    <x:row r="25" ht="100" customHeight="1">
      <x:c r="A25" s="24" t="str">
        <x:v>E64</x:v>
      </x:c>
      <x:c r="B25" s="25" t="str">
        <x:v>VIORICA-COSMETIC SA</x:v>
      </x:c>
      <x:c r="C25" s="24" t="str">
        <x:v>Косметика и бытовая химия</x:v>
      </x:c>
      <x:c r="D25" s="24" t="str">
        <x:v>Сайт компании публикует реквизиты производителя; справочник: 211,33 млн MDL выручки и 229 сотрудников в 2025 году, производство косметики/моющих средств.</x:v>
      </x:c>
      <x:c r="E25" s="24" t="str">
        <x:v>+373 22 748950</x:v>
      </x:c>
      <x:c r="F25" s="24" t="str">
        <x:v>contact@viorica.md</x:v>
      </x:c>
      <x:c r="G25" s="24" t="str">
        <x:v>Приёмная производителя</x:v>
      </x:c>
      <x:c r="H25" s="24" t="str">
        <x:v>Какие линии действуют, тип нагрева, охлаждение и генерация; счётчик производства отдельно от магазинов.</x:v>
      </x:c>
      <x:c r="I25" s="24" t="str">
        <x:v>https://viorica.md/pages/contact</x:v>
      </x:c>
    </x:row>
    <x:row r="26" ht="100" customHeight="1">
      <x:c r="A26" s="18" t="str">
        <x:v>E73</x:v>
      </x:c>
      <x:c r="B26" s="26" t="str">
        <x:v>ABS Recycling</x:v>
      </x:c>
      <x:c r="C26" s="18" t="str">
        <x:v>Переработка отходов</x:v>
      </x:c>
      <x:c r="D26" s="18" t="str">
        <x:v>Компания описывает сортировочный завод, переработку пластика и изготовление контейнеров; публикует адрес фабрики в Peresecina.</x:v>
      </x:c>
      <x:c r="E26" s="18" t="str">
        <x:v>+373 60 777913</x:v>
      </x:c>
      <x:c r="F26" s="18" t="str">
        <x:v>absreciclare@gmail.com</x:v>
      </x:c>
      <x:c r="G26" s="18" t="str">
        <x:v>Общий контакт компании на главной странице</x:v>
      </x:c>
      <x:c r="H26" s="18" t="str">
        <x:v>Разделить сортировку и переработку, подтвердить действующие линии, юридического плательщика и остаточный спрос.</x:v>
      </x:c>
      <x:c r="I26" s="18" t="str">
        <x:v>https://abs.md/</x:v>
      </x:c>
    </x:row>
  </x:sheetData>
  <x:pageMargins left="0.7" right="0.7" top="0.75" bottom="0.75" header="0.3" footer="0.3"/>
  <x:tableParts count="1">
    <x:tablePart xmlns:r="http://schemas.openxmlformats.org/officeDocument/2006/relationships" r:id="R9226de783ad84b3b"/>
  </x:tableParts>
</x:worksheet>
</file>

<file path=xl/worksheets/sheet6.xml><?xml version="1.0" encoding="utf-8"?>
<x:worksheet xmlns:x="http://schemas.openxmlformats.org/spreadsheetml/2006/main">
  <x:sheetPr>
    <x:tabColor rgb="FF203C5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" hidden="0" customWidth="1"/>
    <x:col min="2" max="2" width="33" hidden="0" customWidth="1"/>
    <x:col min="3" max="3" width="31" hidden="0" customWidth="1"/>
    <x:col min="4" max="4" width="72" hidden="0" customWidth="1"/>
    <x:col min="5" max="5" width="65" hidden="0" customWidth="1"/>
    <x:col min="6" max="6" width="66" hidden="0" customWidth="1"/>
    <x:col min="7" max="7" width="86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4" customHeight="1">
      <x:c r="A2" s="3" t="str">
        <x:v>Отложенные и спорные записи · 9</x:v>
      </x:c>
      <x:c r="B2" s="2"/>
      <x:c r="C2" s="2"/>
      <x:c r="D2" s="2"/>
      <x:c r="E2" s="2"/>
      <x:c r="F2" s="2"/>
      <x:c r="G2" s="2"/>
    </x:row>
    <x:row r="3" ht="28" customHeight="1">
      <x:c r="A3" s="4" t="str">
        <x:v>Garma-Grup: собственная выработка. Fujikura: конфликт статуса. Остальным требуется проверка работы, масштаба или контакта.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45" customHeight="1">
      <x:c r="A6" s="22" t="str">
        <x:v>ID</x:v>
      </x:c>
      <x:c r="B6" s="22" t="str">
        <x:v>Компания</x:v>
      </x:c>
      <x:c r="C6" s="22" t="str">
        <x:v>Направление</x:v>
      </x:c>
      <x:c r="D6" s="22" t="str">
        <x:v>Что опубликовано</x:v>
      </x:c>
      <x:c r="E6" s="22" t="str">
        <x:v>Причина отложить</x:v>
      </x:c>
      <x:c r="F6" s="22" t="str">
        <x:v>Следующее действие</x:v>
      </x:c>
      <x:c r="G6" s="22" t="str">
        <x:v>Источник</x:v>
      </x:c>
    </x:row>
    <x:row r="7" ht="100" customHeight="1">
      <x:c r="A7" s="24" t="str">
        <x:v>R01</x:v>
      </x:c>
      <x:c r="B7" s="25" t="str">
        <x:v>Mobvaro-M</x:v>
      </x:c>
      <x:c r="C7" s="24" t="str">
        <x:v>Мебель</x:v>
      </x:c>
      <x:c r="D7" s="24" t="str">
        <x:v>На собственном сайте есть вакансия сборщиков корпусной мебели и сеть продаж.</x:v>
      </x:c>
      <x:c r="E7" s="24" t="str">
        <x:v>Полный производственный цикл, оборудование, место и масштаб цеха не установлены.</x:v>
      </x:c>
      <x:c r="F7" s="24" t="str">
        <x:v>Подтвердить собственное изготовление, а не только сборку/продажу; запросить адрес цеха и перечень станков.</x:v>
      </x:c>
      <x:c r="G7" s="29" t="str">
        <x:v>https://mobvaro.md/ansamblori-mobila-de-corp/</x:v>
      </x:c>
    </x:row>
    <x:row r="8" ht="100" customHeight="1">
      <x:c r="A8" s="18" t="str">
        <x:v>R02</x:v>
      </x:c>
      <x:c r="B8" s="26" t="str">
        <x:v>Floare-Carpet</x:v>
      </x:c>
      <x:c r="C8" s="18" t="str">
        <x:v>Ковры</x:v>
      </x:c>
      <x:c r="D8" s="18" t="str">
        <x:v>Доступен официальный торговый сайт с юридическим наименованием SA Floare-Carpet; найден старый годовой отчёт за 2022 год.</x:v>
      </x:c>
      <x:c r="E8" s="18" t="str">
        <x:v>Содержание старого PDF не удалось прочитать; текущие производственные мощности по доступной странице не подтверждены.</x:v>
      </x:c>
      <x:c r="F8" s="18" t="str">
        <x:v>Получить актуальное описание производства и контакт технической службы. Не считать магазин самостоятельным заводом.</x:v>
      </x:c>
      <x:c r="G8" s="30" t="str">
        <x:v>https://www.floarecarpet.md/ro</x:v>
      </x:c>
    </x:row>
    <x:row r="9" ht="100" customHeight="1">
      <x:c r="A9" s="24" t="str">
        <x:v>R03</x:v>
      </x:c>
      <x:c r="B9" s="25" t="str">
        <x:v>Stejaur</x:v>
      </x:c>
      <x:c r="C9" s="24" t="str">
        <x:v>Мебель и дерево</x:v>
      </x:c>
      <x:c r="D9" s="24" t="str">
        <x:v>Найден официальный сайт производителя мебели.</x:v>
      </x:c>
      <x:c r="E9" s="24" t="str">
        <x:v>При проверке основной сайт показал защитную страницу; актуальное оснащение и работа фабрики не проверены.</x:v>
      </x:c>
      <x:c r="F9" s="24" t="str">
        <x:v>Проверить фабрику, оборудование и текущий деловой контакт через официальный канал.</x:v>
      </x:c>
      <x:c r="G9" s="29" t="str">
        <x:v>https://stejaur.com/</x:v>
      </x:c>
    </x:row>
    <x:row r="10" ht="100" customHeight="1">
      <x:c r="A10" s="18" t="str">
        <x:v>R04</x:v>
      </x:c>
      <x:c r="B10" s="26" t="str">
        <x:v>ARTMET</x:v>
      </x:c>
      <x:c r="C10" s="18" t="str">
        <x:v>Металлоизделия</x:v>
      </x:c>
      <x:c r="D10" s="18" t="str">
        <x:v>Найден сайт компании, известной по вторичным описаниям металлоизделий.</x:v>
      </x:c>
      <x:c r="E10" s="18" t="str">
        <x:v>Официальный сайт при проверке зацикливал перенаправления; первичное описание производства не прочитано.</x:v>
      </x:c>
      <x:c r="F10" s="18" t="str">
        <x:v>Подтвердить действующее производство, адрес, юрлицо и официальный контакт.</x:v>
      </x:c>
      <x:c r="G10" s="30" t="str">
        <x:v>https://artmet.md/</x:v>
      </x:c>
    </x:row>
    <x:row r="11" ht="100" customHeight="1">
      <x:c r="A11" s="24" t="str">
        <x:v>R07</x:v>
      </x:c>
      <x:c r="B11" s="25" t="str">
        <x:v>Carmez</x:v>
      </x:c>
      <x:c r="C11" s="24" t="str">
        <x:v>Мясопереработка</x:v>
      </x:c>
      <x:c r="D11" s="24" t="str">
        <x:v>Найден официальный домен бренда.</x:v>
      </x:c>
      <x:c r="E11" s="24" t="str">
        <x:v>Страница не отдала читаемого текста; текущая производственная деятельность не проверена.</x:v>
      </x:c>
      <x:c r="F11" s="24" t="str">
        <x:v>Проверить актуальное юрлицо, работу фабрики, холод и контакты закупок.</x:v>
      </x:c>
      <x:c r="G11" s="29" t="str">
        <x:v>https://carmez.md/</x:v>
      </x:c>
    </x:row>
    <x:row r="12" ht="100" customHeight="1">
      <x:c r="A12" s="18" t="str">
        <x:v>R08</x:v>
      </x:c>
      <x:c r="B12" s="26" t="str">
        <x:v>Pegas</x:v>
      </x:c>
      <x:c r="C12" s="18" t="str">
        <x:v>Мясопереработка</x:v>
      </x:c>
      <x:c r="D12" s="18" t="str">
        <x:v>На сайте есть раздел производства.</x:v>
      </x:c>
      <x:c r="E12" s="18" t="str">
        <x:v>Раздел не отдал содержательного описания процесса при проверке.</x:v>
      </x:c>
      <x:c r="F12" s="18" t="str">
        <x:v>Подтвердить производственную площадку отдельно от торговли, холодильное оборудование и режим работы.</x:v>
      </x:c>
      <x:c r="G12" s="30" t="str">
        <x:v>https://pegas.md/ro/production</x:v>
      </x:c>
    </x:row>
    <x:row r="13" ht="100" customHeight="1">
      <x:c r="A13" s="24" t="str">
        <x:v>R09</x:v>
      </x:c>
      <x:c r="B13" s="25" t="str">
        <x:v>Garma-Grup</x:v>
      </x:c>
      <x:c r="C13" s="24" t="str">
        <x:v>Мукомольное / макароны / спирт</x:v>
      </x:c>
      <x:c r="D13" s="24" t="str">
        <x:v>Сайт: мельница до 80 т/сутки, макароны до 20 т/сутки; компания заявляет выработку электричества выше собственных потребностей и передачу излишка в сеть.</x:v>
      </x:c>
      <x:c r="E13" s="24" t="str">
        <x:v>Высокое производство не означает высокий спрос на покупную электроэнергию.</x:v>
      </x:c>
      <x:c r="F13" s="24" t="str">
        <x:v>Вернуть в активный поиск только при подтверждении остаточных закупок из сети ≥30 000 MDL/мес.</x:v>
      </x:c>
      <x:c r="G13" s="29" t="str">
        <x:v>https://garma-grup.md/despre-noi/</x:v>
      </x:c>
    </x:row>
    <x:row r="14" ht="100" customHeight="1">
      <x:c r="A14" s="18" t="str">
        <x:v>R10</x:v>
      </x:c>
      <x:c r="B14" s="26" t="str">
        <x:v>FUJIKURA AUTOMOTIVE MLD SRL</x:v>
      </x:c>
      <x:c r="C14" s="18" t="str">
        <x:v>Автокомпоненты</x:v>
      </x:c>
      <x:c r="D14" s="18" t="str">
        <x:v>Глобальный сайт ещё упоминает Молдову; карточка infobiz IDNO 1016600017134 сообщает о ликвидации 25.07.2025.</x:v>
      </x:c>
      <x:c r="E14" s="18" t="str">
        <x:v>Существенный конфликт актуальности; нельзя считать действующим клиентом по старому описанию группы.</x:v>
      </x:c>
      <x:c r="F14" s="18" t="str">
        <x:v>Исключено из активного списка до проверки статуса и возможного правопреемника по официальному реестру.</x:v>
      </x:c>
      <x:c r="G14" s="30" t="str">
        <x:v>https://infobiz.md/en/1016600017134/societatea-cu-raspundere-limitata-fujikura-automotive-mld</x:v>
      </x:c>
    </x:row>
    <x:row r="15" ht="100" customHeight="1">
      <x:c r="A15" s="24" t="str">
        <x:v>R11</x:v>
      </x:c>
      <x:c r="B15" s="25" t="str">
        <x:v>Novamed</x:v>
      </x:c>
      <x:c r="C15" s="24" t="str">
        <x:v>Частная медицина</x:v>
      </x:c>
      <x:c r="D15" s="24" t="str">
        <x:v>Старый официальный сайт описывает круглосуточный стационар, операционные и диагностику; контакт info@novamed.md, +373 22 000700.</x:v>
      </x:c>
      <x:c r="E15" s="24" t="str">
        <x:v>Доступное описание содержит старые материалы; актуальная конфигурация и работа площадки не сверены.</x:v>
      </x:c>
      <x:c r="F15" s="24" t="str">
        <x:v>Проверить нынешнего оператора и работающий объект, затем квалифицировать потребление.</x:v>
      </x:c>
      <x:c r="G15" s="29" t="str">
        <x:v>https://www.novamed.novamed.md/about.php</x:v>
      </x:c>
    </x:row>
  </x:sheetData>
  <x:pageMargins left="0.7" right="0.7" top="0.75" bottom="0.75" header="0.3" footer="0.3"/>
  <x:tableParts count="1">
    <x:tablePart xmlns:r="http://schemas.openxmlformats.org/officeDocument/2006/relationships" r:id="R1eb1644d6f8f4815"/>
  </x:tableParts>
</x:worksheet>
</file>